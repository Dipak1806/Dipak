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a31bb404222563/Desktop/dipak/assignments/"/>
    </mc:Choice>
  </mc:AlternateContent>
  <xr:revisionPtr revIDLastSave="0" documentId="13_ncr:1_{90453254-D388-4441-8AC0-2CC601DD51C7}" xr6:coauthVersionLast="47" xr6:coauthVersionMax="47" xr10:uidLastSave="{00000000-0000-0000-0000-000000000000}"/>
  <workbookProtection workbookAlgorithmName="SHA-512" workbookHashValue="oPohxc5wfT/Sn9BfWSRFzfvfGdeu77kdXZwnkznq9QtZjkIrupux+glfG+KH6uAa50gi5rvfuYd3XWYb2YZJcA==" workbookSaltValue="3FxKYnUN44pvvsjkusy+pw==" workbookSpinCount="100000" lockStructure="1"/>
  <bookViews>
    <workbookView xWindow="-108" yWindow="-108" windowWidth="23256" windowHeight="12456" activeTab="2" xr2:uid="{E4B56F38-D64E-4259-B219-6B5B05364F51}"/>
  </bookViews>
  <sheets>
    <sheet name="AVERAGE 1 - Question" sheetId="1" r:id="rId1"/>
    <sheet name="AVERAGE 3" sheetId="2" r:id="rId2"/>
    <sheet name="COUNT 1" sheetId="4" r:id="rId3"/>
    <sheet name="COUNT 2" sheetId="6" r:id="rId4"/>
    <sheet name="COUNT 3" sheetId="7" r:id="rId5"/>
    <sheet name="HLOOKUP" sheetId="10" r:id="rId6"/>
    <sheet name="IF 1" sheetId="11" r:id="rId7"/>
    <sheet name="IF 2" sheetId="12" r:id="rId8"/>
    <sheet name="IF 3" sheetId="13" r:id="rId9"/>
    <sheet name="IF 4" sheetId="14" r:id="rId10"/>
    <sheet name="MATH 1" sheetId="16" r:id="rId11"/>
    <sheet name="MAX MIN 1" sheetId="17" r:id="rId12"/>
    <sheet name="MAX MIN 2" sheetId="18" r:id="rId13"/>
    <sheet name="MAX MIN 3" sheetId="19" r:id="rId14"/>
    <sheet name="NESTED IF" sheetId="20" r:id="rId15"/>
    <sheet name="SUM 1" sheetId="21" r:id="rId16"/>
    <sheet name="SUM 2" sheetId="22" r:id="rId17"/>
    <sheet name="SUM 3" sheetId="23" r:id="rId18"/>
    <sheet name="SUM IF 1" sheetId="24" r:id="rId19"/>
    <sheet name="SUM IF 2" sheetId="25" r:id="rId20"/>
    <sheet name="vlookup approximate match" sheetId="26" r:id="rId21"/>
    <sheet name="vlookup 1" sheetId="27" r:id="rId22"/>
    <sheet name="vlookup 2a" sheetId="28" r:id="rId23"/>
    <sheet name="macros" sheetId="32" r:id="rId24"/>
    <sheet name="VBA " sheetId="33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27" l="1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G5" i="33"/>
  <c r="C47" i="28" l="1"/>
  <c r="C36" i="28"/>
  <c r="C25" i="28"/>
  <c r="C39" i="27"/>
  <c r="C37" i="27"/>
  <c r="C32" i="27"/>
  <c r="C31" i="27"/>
  <c r="C30" i="27"/>
  <c r="E25" i="27"/>
  <c r="E23" i="27"/>
  <c r="B16" i="26"/>
  <c r="B15" i="26"/>
  <c r="B14" i="26"/>
  <c r="C47" i="25"/>
  <c r="C36" i="25"/>
  <c r="C25" i="25"/>
  <c r="H21" i="24"/>
  <c r="H20" i="24"/>
  <c r="H26" i="24"/>
  <c r="H25" i="24"/>
  <c r="H23" i="24"/>
  <c r="C25" i="23"/>
  <c r="C24" i="23"/>
  <c r="C21" i="23"/>
  <c r="C18" i="23"/>
  <c r="C15" i="23"/>
  <c r="C12" i="23"/>
  <c r="C9" i="23"/>
  <c r="B102" i="22"/>
  <c r="B24" i="21"/>
  <c r="C19" i="20" a="1"/>
  <c r="C19" i="20" s="1"/>
  <c r="C18" i="20" a="1"/>
  <c r="C18" i="20" s="1"/>
  <c r="C17" i="20" a="1"/>
  <c r="C17" i="20" s="1"/>
  <c r="C16" i="20" a="1"/>
  <c r="C16" i="20" s="1"/>
  <c r="C16" i="19"/>
  <c r="G18" i="18"/>
  <c r="G17" i="18"/>
  <c r="G16" i="18"/>
  <c r="G15" i="18"/>
  <c r="C20" i="17"/>
  <c r="C19" i="17"/>
  <c r="C21" i="17" s="1"/>
  <c r="D33" i="16"/>
  <c r="D32" i="16"/>
  <c r="D28" i="16"/>
  <c r="D27" i="16"/>
  <c r="D26" i="16"/>
  <c r="D22" i="16"/>
  <c r="D21" i="16"/>
  <c r="D20" i="16"/>
  <c r="D19" i="16"/>
  <c r="D19" i="14"/>
  <c r="D20" i="14"/>
  <c r="D21" i="14"/>
  <c r="D22" i="14"/>
  <c r="D23" i="14"/>
  <c r="D24" i="14"/>
  <c r="D18" i="14"/>
  <c r="F27" i="13"/>
  <c r="E27" i="13"/>
  <c r="F26" i="13"/>
  <c r="E26" i="13"/>
  <c r="F25" i="13"/>
  <c r="E25" i="13"/>
  <c r="F24" i="13"/>
  <c r="E24" i="13"/>
  <c r="F23" i="13"/>
  <c r="E23" i="13"/>
  <c r="F22" i="13"/>
  <c r="E22" i="13"/>
  <c r="F21" i="13"/>
  <c r="E21" i="13"/>
  <c r="F20" i="13"/>
  <c r="E20" i="13"/>
  <c r="D17" i="12"/>
  <c r="D16" i="12"/>
  <c r="D15" i="12"/>
  <c r="D14" i="12"/>
  <c r="D18" i="11"/>
  <c r="D17" i="11"/>
  <c r="D16" i="11"/>
  <c r="D15" i="11"/>
  <c r="F38" i="10"/>
  <c r="F28" i="10"/>
  <c r="F17" i="10"/>
  <c r="Q33" i="7"/>
  <c r="Q30" i="7"/>
  <c r="Q27" i="7"/>
  <c r="Q24" i="7"/>
  <c r="C31" i="6"/>
  <c r="C25" i="6"/>
  <c r="C24" i="4"/>
  <c r="C21" i="4"/>
  <c r="D27" i="2"/>
  <c r="D26" i="2"/>
  <c r="D21" i="2"/>
  <c r="D20" i="2"/>
  <c r="D19" i="2"/>
  <c r="H25" i="1"/>
  <c r="H23" i="1"/>
  <c r="H21" i="1"/>
  <c r="H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tc={13EA6597-C71F-46F3-8FE7-EA4223784AE8}</author>
  </authors>
  <commentList>
    <comment ref="B2" authorId="0" shapeId="0" xr:uid="{13EA6597-C71F-46F3-8FE7-EA4223784AE8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formula is :-
=avg(total no sum/ total no)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tc={58FA73BF-4A1C-46B0-997C-B4DB4A77ECDF}</author>
  </authors>
  <commentList>
    <comment ref="M13" authorId="0" shapeId="0" xr:uid="{58FA73BF-4A1C-46B0-997C-B4DB4A77ECDF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this assignment we learnt many basic function and also advanced function which can be used at Industrial level.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tc={E8457B46-4878-4D6F-AA38-BB7300CD82D1}</author>
  </authors>
  <commentList>
    <comment ref="C39" authorId="0" shapeId="0" xr:uid="{E8457B46-4878-4D6F-AA38-BB7300CD82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this sheet I have used vlookup  formula of excel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18622B-F2C9-4F5F-8497-D51E9A8774B4}" keepAlive="1" name="Query - AVERAGE 3 - Question" description="Connection to the 'AVERAGE 3 - Question' query in the workbook." type="5" refreshedVersion="0" background="1">
    <dbPr connection="Provider=Microsoft.Mashup.OleDb.1;Data Source=$Workbook$;Location=&quot;AVERAGE 3 - Question&quot;;Extended Properties=&quot;&quot;" command="SELECT * FROM [AVERAGE 3 - Question]"/>
  </connection>
  <connection id="2" xr16:uid="{C4E7966A-0E95-45AA-A6B3-EF47C9EB46A5}" keepAlive="1" name="Query - AVERAGE 3 - Question (2)" description="Connection to the 'AVERAGE 3 - Question (2)' query in the workbook." type="5" refreshedVersion="0" background="1">
    <dbPr connection="Provider=Microsoft.Mashup.OleDb.1;Data Source=$Workbook$;Location=&quot;AVERAGE 3 - Question (2)&quot;;Extended Properties=&quot;&quot;" command="SELECT * FROM [AVERAGE 3 - Question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<sst xmlns="http://schemas.openxmlformats.org/spreadsheetml/2006/main" count="897" uniqueCount="613">
  <si>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</si>
  <si>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</si>
  <si>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</si>
  <si>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</si>
  <si>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</si>
  <si>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</si>
  <si>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</si>
  <si>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</si>
  <si>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</si>
  <si>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</si>
  <si>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</si>
  <si>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</si>
  <si>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</si>
  <si>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</si>
  <si>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</si>
  <si>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</si>
  <si>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</si>
  <si>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</si>
  <si>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</si>
  <si>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</si>
  <si>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</si>
  <si>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</si>
  <si>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</si>
  <si>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</si>
  <si>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</si>
  <si>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</si>
  <si>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</si>
  <si>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</si>
  <si>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</si>
  <si>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</si>
  <si>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</si>
  <si>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</si>
  <si>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</si>
  <si>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</si>
  <si>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</si>
  <si>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</si>
  <si>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</si>
  <si>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</si>
  <si>
    <t xml:space="preserve">Q.2)   The excel file named Average 3, the table below contains precipitation measurement as measured in the Rochester NY area last year and we 
sampled 3 days in each of the first three months of 2018. Complete all the question in the file given. </t>
  </si>
  <si>
    <r>
      <rPr>
        <b/>
        <sz val="18"/>
        <color theme="1"/>
        <rFont val="Calibri"/>
        <family val="2"/>
        <scheme val="minor"/>
      </rPr>
      <t xml:space="preserve"> Q.1)   Use the average function and calculate the average of all the three category of weight. (for this question use excel file named average 1).</t>
    </r>
    <r>
      <rPr>
        <sz val="18"/>
        <color theme="1"/>
        <rFont val="Calibri"/>
        <family val="2"/>
        <scheme val="minor"/>
      </rPr>
      <t xml:space="preserve"> </t>
    </r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</si>
  <si>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</si>
  <si>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</si>
  <si>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</si>
  <si>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</si>
  <si>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</si>
  <si>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</si>
  <si>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</si>
  <si>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</si>
  <si>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</si>
  <si>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</si>
  <si>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</si>
  <si>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</si>
  <si>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</si>
  <si>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</si>
  <si>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</si>
  <si>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</si>
  <si>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</si>
  <si>
    <t xml:space="preserve">Q.3) In excel file named Count 1, The table below shows survey responses; the respondents could use any value for their answers. 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</si>
  <si>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</si>
  <si>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</si>
  <si>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</si>
  <si>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</si>
  <si>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</si>
  <si>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</si>
  <si>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</si>
  <si>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</si>
  <si>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</si>
  <si>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</si>
  <si>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</si>
  <si>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</si>
  <si>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</si>
  <si>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</si>
  <si>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</si>
  <si>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</si>
  <si>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</si>
  <si>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</si>
  <si>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</si>
  <si>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How many numerical answers appear in column C - Amount?</t>
  </si>
  <si>
    <t>COUNT returns the number of cells with a number.</t>
  </si>
  <si>
    <t>How many non-blank answers (numbers and letters) appear in column C?</t>
  </si>
  <si>
    <t xml:space="preserve">Q.5) In excel file named COUNT 2, The following table represents a bank statement of ExcelMaster company. Column E shows the total dollar 
value amount of each of the accounts. Answer all the questions using 
COUNT and COUNTA function. 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</si>
  <si>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</si>
  <si>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</si>
  <si>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</si>
  <si>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</si>
  <si>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</si>
  <si>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</si>
  <si>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</si>
  <si>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</si>
  <si>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</si>
  <si>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</si>
  <si>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</si>
  <si>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</si>
  <si>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</si>
  <si>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</si>
  <si>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</si>
  <si>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</si>
  <si>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</si>
  <si>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</si>
  <si>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</si>
  <si>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</si>
  <si>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</si>
  <si>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</si>
  <si>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</si>
  <si>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</si>
  <si>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</si>
  <si>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</si>
  <si>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</si>
  <si>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</si>
  <si>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</si>
  <si>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</si>
  <si>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</si>
  <si>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</si>
  <si>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</si>
  <si>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</si>
  <si>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</si>
  <si>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</si>
  <si>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</si>
  <si>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</si>
  <si>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Grade</t>
  </si>
  <si>
    <t>Pass/Fail</t>
  </si>
  <si>
    <t>Adi</t>
  </si>
  <si>
    <t>Beni</t>
  </si>
  <si>
    <t>Charlie</t>
  </si>
  <si>
    <t>Dani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</si>
  <si>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</si>
  <si>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</si>
  <si>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</si>
  <si>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</si>
  <si>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</si>
  <si>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</si>
  <si>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</si>
  <si>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</si>
  <si>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</si>
  <si>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</si>
  <si>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</si>
  <si>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</si>
  <si>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</si>
  <si>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</si>
  <si>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</si>
  <si>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</si>
  <si>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</si>
  <si>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</si>
  <si>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</si>
  <si>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</si>
  <si>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</si>
  <si>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</si>
  <si>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</si>
  <si>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</si>
  <si>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</si>
  <si>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</si>
  <si>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</si>
  <si>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An A+ student gets 100% scholarship and non A+ gets 50% scholarship as shown in the table below: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</si>
  <si>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</si>
  <si>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</si>
  <si>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</si>
  <si>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</si>
  <si>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</si>
  <si>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</si>
  <si>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</si>
  <si>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</si>
  <si>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</si>
  <si>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</si>
  <si>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</si>
  <si>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</si>
  <si>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</si>
  <si>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</si>
  <si>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</si>
  <si>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</si>
  <si>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</si>
  <si>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</si>
  <si>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</si>
  <si>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</si>
  <si>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</si>
  <si>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</si>
  <si>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</si>
  <si>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</si>
  <si>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</si>
  <si>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</si>
  <si>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</si>
  <si>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</si>
  <si>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</si>
  <si>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</si>
  <si>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</si>
  <si>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</si>
  <si>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</si>
  <si>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</si>
  <si>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</si>
  <si>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</si>
  <si>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</si>
  <si>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</si>
  <si>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</si>
  <si>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</si>
  <si>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</si>
  <si>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MAX, MIN and Average</t>
  </si>
  <si>
    <t>Sumo wrestlers contest - Names and Weights</t>
  </si>
  <si>
    <t>Use max, min and average formulas to answer the following questions.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</si>
  <si>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</si>
  <si>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</si>
  <si>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</si>
  <si>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</si>
  <si>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</si>
  <si>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</si>
  <si>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</si>
  <si>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</si>
  <si>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</si>
  <si>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</si>
  <si>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</si>
  <si>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</si>
  <si>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</si>
  <si>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</si>
  <si>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</si>
  <si>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</si>
  <si>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</si>
  <si>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IF</t>
  </si>
  <si>
    <t>Johnny</t>
  </si>
  <si>
    <t>Georgy</t>
  </si>
  <si>
    <t>Ofri</t>
  </si>
  <si>
    <t xml:space="preserve">IF at least one student got 99 points or more in a test - the test considered easy, </t>
  </si>
  <si>
    <t>Use MAX and IF to create a logic that checks if the test was "Easy" or not</t>
  </si>
  <si>
    <t>Johny</t>
  </si>
  <si>
    <t>Lev</t>
  </si>
  <si>
    <t>Yoav</t>
  </si>
  <si>
    <t>Chen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</si>
  <si>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</si>
  <si>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</si>
  <si>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</si>
  <si>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</si>
  <si>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</si>
  <si>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</si>
  <si>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Failed/Good/Excellent</t>
  </si>
  <si>
    <t>John</t>
  </si>
  <si>
    <t>Sarah</t>
  </si>
  <si>
    <t>Michael</t>
  </si>
  <si>
    <t>Deborah</t>
  </si>
  <si>
    <t>The following table includes ABC company's revenue by month.</t>
  </si>
  <si>
    <t>The company's CFO asked you to use SUM formula to calculate the total revenue for the year.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</si>
  <si>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</si>
  <si>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</si>
  <si>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</si>
  <si>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</si>
  <si>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</si>
  <si>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</si>
  <si>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</si>
  <si>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</si>
  <si>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</si>
  <si>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</si>
  <si>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</si>
  <si>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</si>
  <si>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</si>
  <si>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</si>
  <si>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</si>
  <si>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</si>
  <si>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</si>
  <si>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</si>
  <si>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</si>
  <si>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</si>
  <si>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</si>
  <si>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</si>
  <si>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</si>
  <si>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</si>
  <si>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</si>
  <si>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</si>
  <si>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</si>
  <si>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</si>
  <si>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</si>
  <si>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</si>
  <si>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</si>
  <si>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</si>
  <si>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</si>
  <si>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</si>
  <si>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</si>
  <si>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</si>
  <si>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</si>
  <si>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</si>
  <si>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</si>
  <si>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</si>
  <si>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</si>
  <si>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</si>
  <si>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</si>
  <si>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</si>
  <si>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</si>
  <si>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</si>
  <si>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</si>
  <si>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</si>
  <si>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</si>
  <si>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</si>
  <si>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</si>
  <si>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</si>
  <si>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</si>
  <si>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</si>
  <si>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</si>
  <si>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</si>
  <si>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</si>
  <si>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</si>
  <si>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</si>
  <si>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</si>
  <si>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</si>
  <si>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</si>
  <si>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</si>
  <si>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</si>
  <si>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</si>
  <si>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</si>
  <si>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</si>
  <si>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</si>
  <si>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</si>
  <si>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</si>
  <si>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</si>
  <si>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</si>
  <si>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</si>
  <si>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</si>
  <si>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</si>
  <si>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</si>
  <si>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</si>
  <si>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</si>
  <si>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</si>
  <si>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</si>
  <si>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</si>
  <si>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</si>
  <si>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</si>
  <si>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</si>
  <si>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</si>
  <si>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</si>
  <si>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</si>
  <si>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</si>
  <si>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</si>
  <si>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</si>
  <si>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</si>
  <si>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</si>
  <si>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</si>
  <si>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</si>
  <si>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</si>
  <si>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</si>
  <si>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</si>
  <si>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</si>
  <si>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</si>
  <si>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</si>
  <si>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</si>
  <si>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</si>
  <si>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</si>
  <si>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</si>
  <si>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</si>
  <si>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</si>
  <si>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</si>
  <si>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</si>
  <si>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</si>
  <si>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</si>
  <si>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</si>
  <si>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</si>
  <si>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</si>
  <si>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</si>
  <si>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</si>
  <si>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</si>
  <si>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</si>
  <si>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</si>
  <si>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</si>
  <si>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</si>
  <si>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</si>
  <si>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</si>
  <si>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</si>
  <si>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</si>
  <si>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</si>
  <si>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</si>
  <si>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</si>
  <si>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</si>
  <si>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</si>
  <si>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</si>
  <si>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</si>
  <si>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</si>
  <si>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</si>
  <si>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</si>
  <si>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</si>
  <si>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</si>
  <si>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</si>
  <si>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</si>
  <si>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</si>
  <si>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</si>
  <si>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</si>
  <si>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</si>
  <si>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</si>
  <si>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</si>
  <si>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</si>
  <si>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</si>
  <si>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</si>
  <si>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</si>
  <si>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</si>
  <si>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</si>
  <si>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</si>
  <si>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</si>
  <si>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</si>
  <si>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</si>
  <si>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</si>
  <si>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</si>
  <si>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</si>
  <si>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</si>
  <si>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</si>
  <si>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</si>
  <si>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</si>
  <si>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</si>
  <si>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</si>
  <si>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</si>
  <si>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</si>
  <si>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</si>
  <si>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</si>
  <si>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</si>
  <si>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</si>
  <si>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</si>
  <si>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</si>
  <si>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</si>
  <si>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</si>
  <si>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</si>
  <si>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</si>
  <si>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</si>
  <si>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</si>
  <si>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</si>
  <si>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</si>
  <si>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</si>
  <si>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</si>
  <si>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</si>
  <si>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</si>
  <si>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</si>
  <si>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</si>
  <si>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</si>
  <si>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</si>
  <si>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</si>
  <si>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</si>
  <si>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</si>
  <si>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</si>
  <si>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</si>
  <si>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</si>
  <si>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</si>
  <si>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</si>
  <si>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</si>
  <si>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</si>
  <si>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</si>
  <si>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</si>
  <si>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</si>
  <si>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</si>
  <si>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</si>
  <si>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</si>
  <si>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Data - SUMIF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</si>
  <si>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</si>
  <si>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</si>
  <si>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</si>
  <si>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</si>
  <si>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</si>
  <si>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</si>
  <si>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</si>
  <si>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</si>
  <si>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</si>
  <si>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</si>
  <si>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</si>
  <si>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</si>
  <si>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</si>
  <si>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</si>
  <si>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</si>
  <si>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</si>
  <si>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</si>
  <si>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</si>
  <si>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</si>
  <si>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</si>
  <si>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</si>
  <si>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</si>
  <si>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</si>
  <si>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</si>
  <si>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</si>
  <si>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</si>
  <si>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</si>
  <si>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</si>
  <si>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What is the total number of medals won by figure skaters?</t>
  </si>
  <si>
    <t>What is the total number of medals won by both USA and Jamaica? (Hard)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</si>
  <si>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</si>
  <si>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</si>
  <si>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</si>
  <si>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</si>
  <si>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>Below is a list of the employees who work in your company:</t>
  </si>
  <si>
    <t>Location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</si>
  <si>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</si>
  <si>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</si>
  <si>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</si>
  <si>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</si>
  <si>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</si>
  <si>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</si>
  <si>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</si>
  <si>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</si>
  <si>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</si>
  <si>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</si>
  <si>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</si>
  <si>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</si>
  <si>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</si>
  <si>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</si>
  <si>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</si>
  <si>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</si>
  <si>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</si>
  <si>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</si>
  <si>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</si>
  <si>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</si>
  <si>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</si>
  <si>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</si>
  <si>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</si>
  <si>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</si>
  <si>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</si>
  <si>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VLOOKUP Exercise - Data: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</si>
  <si>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</si>
  <si>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</si>
  <si>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</si>
  <si>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</si>
  <si>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</si>
  <si>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</si>
  <si>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</si>
  <si>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</si>
  <si>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Accountant</t>
  </si>
  <si>
    <t>Emily Chen</t>
  </si>
  <si>
    <t>Sam Lee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</si>
  <si>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</si>
  <si>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</si>
  <si>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</si>
  <si>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</si>
  <si>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</si>
  <si>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</si>
  <si>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</si>
  <si>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</si>
  <si>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</si>
  <si>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</si>
  <si>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s</t>
  </si>
  <si>
    <t>Create a VLOOKUP formula to find the occupation of Jane Doe.</t>
  </si>
  <si>
    <t>Create a VLOOKUP formula to find the age of Mike Lee.</t>
  </si>
  <si>
    <t>Create a VLOOKUP formula to find the occupation of a person whose name starts with "B" (Challenging!)</t>
  </si>
  <si>
    <t>Order ID</t>
  </si>
  <si>
    <t>Quantity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</si>
  <si>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</si>
  <si>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</si>
  <si>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</si>
  <si>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</si>
  <si>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</si>
  <si>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</si>
  <si>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</si>
  <si>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</si>
  <si>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</si>
  <si>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</si>
  <si>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</si>
  <si>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</si>
  <si>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</si>
  <si>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</si>
  <si>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</si>
  <si>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</si>
  <si>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</si>
  <si>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</si>
  <si>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</si>
  <si>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</si>
  <si>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</si>
  <si>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</si>
  <si>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</si>
  <si>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</si>
  <si>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</si>
  <si>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</si>
  <si>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</si>
  <si>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</si>
  <si>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</si>
  <si>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</si>
  <si>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</si>
  <si>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</si>
  <si>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</si>
  <si>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</si>
  <si>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</si>
  <si>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</si>
  <si>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</si>
  <si>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</si>
  <si>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</si>
  <si>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</si>
  <si>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</si>
  <si>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</si>
  <si>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</si>
  <si>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</si>
  <si>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</si>
  <si>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</si>
  <si>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</si>
  <si>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</si>
  <si>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</si>
  <si>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</si>
  <si>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</si>
  <si>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</si>
  <si>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</si>
  <si>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</si>
  <si>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</si>
  <si>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</si>
  <si>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</si>
  <si>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</si>
  <si>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</si>
  <si>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</si>
  <si>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</si>
  <si>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</si>
  <si>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</si>
  <si>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</si>
  <si>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</si>
  <si>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</si>
  <si>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</si>
  <si>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</si>
  <si>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</si>
  <si>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1=</t>
  </si>
  <si>
    <t xml:space="preserve">Convert The CSV file into Table </t>
  </si>
  <si>
    <t>2=</t>
  </si>
  <si>
    <t>With Text To Columns</t>
  </si>
  <si>
    <t>3=</t>
  </si>
  <si>
    <t>Add Discount Column</t>
  </si>
  <si>
    <t>4=</t>
  </si>
  <si>
    <t>Do formatting And coloring</t>
  </si>
  <si>
    <t>5=</t>
  </si>
  <si>
    <t>Create a Function to give Discount of 20 % if Buying Quantiy more than 20</t>
  </si>
  <si>
    <t>Product</t>
  </si>
  <si>
    <t>Price</t>
  </si>
  <si>
    <t>Total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</si>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</sst>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B1mmm\-yy"/>
    <numFmt numFmtId="165" formatCode="_(* #,##0.00_);_(* \(#,##0.00\);_(* &quot;-&quot;??_);_(@_)"/>
    <numFmt numFmtId="166" formatCode="_([$$-409]* #,##0.00_);_([$$-409]* \(#,##0.00\);_([$$-409]* &quot;-&quot;??_);_(@_)"/>
    <numFmt numFmtId="167" formatCode="_ * #,##0_ ;_ * \-#,##0_ ;_ * &quot;-&quot;??_ ;_ @_ "/>
    <numFmt numFmtId="168" formatCode="_(* #,##0_);_(* \(#,##0\);_(* &quot;-&quot;??_);_(@_)"/>
    <numFmt numFmtId="169" formatCode="_(&quot;$&quot;* #,##0.00_);_(&quot;$&quot;* \(#,##0.00\);_(&quot;$&quot;* &quot;-&quot;??_);_(@_)"/>
    <numFmt numFmtId="170" formatCode="_-[$$-409]* #,##0.0000_ ;_-[$$-409]* \-#,##0.0000\ ;_-[$$-409]* &quot;-&quot;??_ ;_-@_ "/>
  </numFmts>
  <fonts count="4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  <font>
      <b/>
      <sz val="2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E101A"/>
      <name val="Calibri"/>
      <family val="2"/>
    </font>
    <font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rgb="FF0E101A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Roboto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charset val="177"/>
    </font>
    <font>
      <sz val="11"/>
      <color rgb="FF000000"/>
      <name val="Calibri"/>
      <family val="2"/>
      <charset val="177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5" fillId="0" borderId="0" xfId="0" applyFont="1"/>
    <xf numFmtId="0" fontId="6" fillId="0" borderId="0" xfId="0" applyFont="1"/>
    <xf numFmtId="0" fontId="5" fillId="3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2" borderId="1" xfId="0" applyFont="1" applyFill="1" applyBorder="1" applyProtection="1">
      <protection locked="0"/>
    </xf>
    <xf numFmtId="0" fontId="6" fillId="2" borderId="1" xfId="0" applyFont="1" applyFill="1" applyBorder="1" applyProtection="1">
      <protection locked="0"/>
    </xf>
    <xf numFmtId="0" fontId="5" fillId="0" borderId="3" xfId="0" applyFont="1" applyBorder="1"/>
    <xf numFmtId="0" fontId="0" fillId="0" borderId="0" xfId="0" applyAlignment="1">
      <alignment horizontal="center"/>
    </xf>
    <xf numFmtId="164" fontId="5" fillId="0" borderId="0" xfId="0" applyNumberFormat="1" applyFont="1"/>
    <xf numFmtId="0" fontId="5" fillId="2" borderId="0" xfId="0" applyFont="1" applyFill="1" applyProtection="1">
      <protection locked="0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2" xfId="0" applyFont="1" applyBorder="1"/>
    <xf numFmtId="0" fontId="13" fillId="6" borderId="2" xfId="0" applyFont="1" applyFill="1" applyBorder="1"/>
    <xf numFmtId="0" fontId="12" fillId="6" borderId="2" xfId="0" applyFont="1" applyFill="1" applyBorder="1"/>
    <xf numFmtId="0" fontId="12" fillId="2" borderId="1" xfId="0" applyFont="1" applyFill="1" applyBorder="1" applyProtection="1">
      <protection locked="0"/>
    </xf>
    <xf numFmtId="0" fontId="15" fillId="7" borderId="2" xfId="0" applyFont="1" applyFill="1" applyBorder="1" applyAlignment="1">
      <alignment horizontal="center" vertical="center" wrapText="1"/>
    </xf>
    <xf numFmtId="0" fontId="16" fillId="0" borderId="0" xfId="0" applyFont="1"/>
    <xf numFmtId="0" fontId="2" fillId="0" borderId="0" xfId="0" applyFont="1"/>
    <xf numFmtId="0" fontId="17" fillId="7" borderId="2" xfId="0" applyFont="1" applyFill="1" applyBorder="1" applyAlignment="1">
      <alignment horizontal="center" vertical="center" wrapText="1"/>
    </xf>
    <xf numFmtId="165" fontId="17" fillId="7" borderId="2" xfId="0" applyNumberFormat="1" applyFont="1" applyFill="1" applyBorder="1" applyAlignment="1">
      <alignment vertical="center" wrapText="1"/>
    </xf>
    <xf numFmtId="165" fontId="17" fillId="7" borderId="2" xfId="0" applyNumberFormat="1" applyFont="1" applyFill="1" applyBorder="1" applyAlignment="1">
      <alignment horizontal="center" vertical="center" wrapText="1"/>
    </xf>
    <xf numFmtId="1" fontId="17" fillId="7" borderId="2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6" fillId="2" borderId="1" xfId="0" applyFont="1" applyFill="1" applyBorder="1" applyProtection="1">
      <protection locked="0"/>
    </xf>
    <xf numFmtId="0" fontId="0" fillId="0" borderId="0" xfId="0" applyAlignment="1">
      <alignment horizontal="center" vertical="center"/>
    </xf>
    <xf numFmtId="0" fontId="12" fillId="8" borderId="12" xfId="0" applyFont="1" applyFill="1" applyBorder="1"/>
    <xf numFmtId="0" fontId="12" fillId="8" borderId="13" xfId="0" applyFont="1" applyFill="1" applyBorder="1"/>
    <xf numFmtId="0" fontId="12" fillId="8" borderId="14" xfId="0" applyFont="1" applyFill="1" applyBorder="1"/>
    <xf numFmtId="0" fontId="12" fillId="2" borderId="0" xfId="0" applyFont="1" applyFill="1" applyProtection="1">
      <protection locked="0"/>
    </xf>
    <xf numFmtId="0" fontId="21" fillId="0" borderId="0" xfId="0" applyFont="1"/>
    <xf numFmtId="0" fontId="18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9" borderId="15" xfId="0" applyFont="1" applyFill="1" applyBorder="1"/>
    <xf numFmtId="0" fontId="16" fillId="0" borderId="0" xfId="0" applyFont="1" applyAlignment="1">
      <alignment horizontal="left" indent="1"/>
    </xf>
    <xf numFmtId="0" fontId="22" fillId="0" borderId="0" xfId="0" applyFont="1"/>
    <xf numFmtId="0" fontId="1" fillId="0" borderId="0" xfId="0" applyFont="1"/>
    <xf numFmtId="0" fontId="6" fillId="0" borderId="2" xfId="0" applyFont="1" applyBorder="1"/>
    <xf numFmtId="0" fontId="5" fillId="0" borderId="2" xfId="0" applyFont="1" applyBorder="1"/>
    <xf numFmtId="0" fontId="5" fillId="2" borderId="2" xfId="0" applyFont="1" applyFill="1" applyBorder="1" applyProtection="1">
      <protection locked="0"/>
    </xf>
    <xf numFmtId="0" fontId="23" fillId="0" borderId="0" xfId="0" applyFont="1"/>
    <xf numFmtId="0" fontId="24" fillId="0" borderId="0" xfId="0" applyFont="1"/>
    <xf numFmtId="166" fontId="5" fillId="0" borderId="2" xfId="0" applyNumberFormat="1" applyFont="1" applyBorder="1"/>
    <xf numFmtId="0" fontId="5" fillId="0" borderId="0" xfId="0" applyFont="1" applyAlignment="1">
      <alignment horizontal="left"/>
    </xf>
    <xf numFmtId="0" fontId="25" fillId="0" borderId="0" xfId="0" applyFont="1"/>
    <xf numFmtId="0" fontId="5" fillId="0" borderId="0" xfId="0" applyFont="1" applyAlignment="1">
      <alignment horizontal="right"/>
    </xf>
    <xf numFmtId="0" fontId="24" fillId="0" borderId="2" xfId="0" applyFont="1" applyBorder="1"/>
    <xf numFmtId="0" fontId="24" fillId="0" borderId="16" xfId="0" applyFont="1" applyBorder="1"/>
    <xf numFmtId="0" fontId="5" fillId="0" borderId="16" xfId="0" applyFont="1" applyBorder="1"/>
    <xf numFmtId="0" fontId="1" fillId="0" borderId="2" xfId="0" applyFont="1" applyBorder="1"/>
    <xf numFmtId="9" fontId="1" fillId="0" borderId="2" xfId="0" applyNumberFormat="1" applyFont="1" applyBorder="1"/>
    <xf numFmtId="0" fontId="20" fillId="0" borderId="2" xfId="0" applyFont="1" applyBorder="1"/>
    <xf numFmtId="167" fontId="1" fillId="0" borderId="2" xfId="3" applyNumberFormat="1" applyFont="1" applyBorder="1"/>
    <xf numFmtId="3" fontId="1" fillId="2" borderId="2" xfId="0" applyNumberFormat="1" applyFont="1" applyFill="1" applyBorder="1" applyProtection="1">
      <protection locked="0"/>
    </xf>
    <xf numFmtId="0" fontId="5" fillId="0" borderId="0" xfId="0" quotePrefix="1" applyFont="1"/>
    <xf numFmtId="9" fontId="5" fillId="2" borderId="0" xfId="0" applyNumberFormat="1" applyFont="1" applyFill="1" applyProtection="1">
      <protection locked="0"/>
    </xf>
    <xf numFmtId="9" fontId="5" fillId="0" borderId="0" xfId="0" applyNumberFormat="1" applyFont="1"/>
    <xf numFmtId="0" fontId="24" fillId="0" borderId="0" xfId="0" applyFont="1" applyAlignment="1">
      <alignment horizontal="center"/>
    </xf>
    <xf numFmtId="0" fontId="24" fillId="0" borderId="17" xfId="0" applyFont="1" applyBorder="1"/>
    <xf numFmtId="0" fontId="11" fillId="0" borderId="17" xfId="0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0" fillId="0" borderId="15" xfId="0" applyFont="1" applyBorder="1"/>
    <xf numFmtId="0" fontId="0" fillId="0" borderId="15" xfId="0" applyBorder="1"/>
    <xf numFmtId="0" fontId="0" fillId="9" borderId="15" xfId="0" applyFill="1" applyBorder="1" applyProtection="1">
      <protection locked="0"/>
    </xf>
    <xf numFmtId="168" fontId="5" fillId="0" borderId="0" xfId="0" applyNumberFormat="1" applyFont="1" applyAlignment="1">
      <alignment horizontal="center"/>
    </xf>
    <xf numFmtId="168" fontId="5" fillId="2" borderId="1" xfId="0" applyNumberFormat="1" applyFont="1" applyFill="1" applyBorder="1" applyProtection="1">
      <protection locked="0"/>
    </xf>
    <xf numFmtId="14" fontId="6" fillId="10" borderId="2" xfId="0" applyNumberFormat="1" applyFont="1" applyFill="1" applyBorder="1"/>
    <xf numFmtId="169" fontId="6" fillId="10" borderId="2" xfId="0" applyNumberFormat="1" applyFont="1" applyFill="1" applyBorder="1"/>
    <xf numFmtId="14" fontId="5" fillId="0" borderId="2" xfId="0" applyNumberFormat="1" applyFont="1" applyBorder="1"/>
    <xf numFmtId="169" fontId="5" fillId="0" borderId="2" xfId="0" applyNumberFormat="1" applyFont="1" applyBorder="1"/>
    <xf numFmtId="14" fontId="5" fillId="0" borderId="0" xfId="0" applyNumberFormat="1" applyFont="1"/>
    <xf numFmtId="169" fontId="5" fillId="9" borderId="2" xfId="0" applyNumberFormat="1" applyFont="1" applyFill="1" applyBorder="1" applyProtection="1">
      <protection locked="0"/>
    </xf>
    <xf numFmtId="3" fontId="26" fillId="11" borderId="2" xfId="0" applyNumberFormat="1" applyFont="1" applyFill="1" applyBorder="1" applyAlignment="1">
      <alignment horizontal="center"/>
    </xf>
    <xf numFmtId="3" fontId="22" fillId="0" borderId="0" xfId="0" applyNumberFormat="1" applyFont="1"/>
    <xf numFmtId="3" fontId="26" fillId="0" borderId="0" xfId="0" applyNumberFormat="1" applyFont="1" applyAlignment="1">
      <alignment horizontal="right"/>
    </xf>
    <xf numFmtId="3" fontId="5" fillId="2" borderId="2" xfId="0" applyNumberFormat="1" applyFont="1" applyFill="1" applyBorder="1" applyProtection="1">
      <protection locked="0"/>
    </xf>
    <xf numFmtId="0" fontId="27" fillId="0" borderId="0" xfId="0" applyFont="1"/>
    <xf numFmtId="3" fontId="5" fillId="2" borderId="15" xfId="0" applyNumberFormat="1" applyFont="1" applyFill="1" applyBorder="1" applyProtection="1">
      <protection locked="0"/>
    </xf>
    <xf numFmtId="3" fontId="5" fillId="9" borderId="15" xfId="0" applyNumberFormat="1" applyFont="1" applyFill="1" applyBorder="1" applyProtection="1">
      <protection locked="0"/>
    </xf>
    <xf numFmtId="0" fontId="26" fillId="11" borderId="2" xfId="0" applyFont="1" applyFill="1" applyBorder="1" applyAlignment="1">
      <alignment horizontal="center"/>
    </xf>
    <xf numFmtId="0" fontId="30" fillId="11" borderId="2" xfId="0" applyFont="1" applyFill="1" applyBorder="1" applyAlignment="1">
      <alignment horizontal="center"/>
    </xf>
    <xf numFmtId="0" fontId="26" fillId="0" borderId="2" xfId="0" applyFont="1" applyBorder="1" applyAlignment="1">
      <alignment horizontal="center"/>
    </xf>
    <xf numFmtId="3" fontId="26" fillId="2" borderId="2" xfId="0" applyNumberFormat="1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167" fontId="0" fillId="0" borderId="15" xfId="4" applyNumberFormat="1" applyFont="1" applyBorder="1"/>
    <xf numFmtId="0" fontId="20" fillId="0" borderId="0" xfId="0" applyFont="1"/>
    <xf numFmtId="0" fontId="0" fillId="9" borderId="20" xfId="0" applyFill="1" applyBorder="1" applyProtection="1">
      <protection locked="0"/>
    </xf>
    <xf numFmtId="0" fontId="31" fillId="0" borderId="0" xfId="0" applyFont="1"/>
    <xf numFmtId="0" fontId="32" fillId="0" borderId="0" xfId="0" applyFont="1"/>
    <xf numFmtId="0" fontId="32" fillId="0" borderId="15" xfId="0" applyFont="1" applyBorder="1"/>
    <xf numFmtId="0" fontId="31" fillId="0" borderId="15" xfId="0" applyFont="1" applyBorder="1"/>
    <xf numFmtId="0" fontId="33" fillId="0" borderId="0" xfId="0" applyFont="1" applyAlignment="1">
      <alignment vertical="center"/>
    </xf>
    <xf numFmtId="0" fontId="4" fillId="0" borderId="0" xfId="2" quotePrefix="1"/>
    <xf numFmtId="0" fontId="34" fillId="0" borderId="0" xfId="0" applyFont="1" applyAlignment="1">
      <alignment vertical="center"/>
    </xf>
    <xf numFmtId="0" fontId="35" fillId="0" borderId="0" xfId="0" applyFont="1"/>
    <xf numFmtId="0" fontId="36" fillId="0" borderId="0" xfId="0" applyFont="1"/>
    <xf numFmtId="0" fontId="37" fillId="9" borderId="15" xfId="0" applyFont="1" applyFill="1" applyBorder="1"/>
    <xf numFmtId="0" fontId="38" fillId="0" borderId="0" xfId="0" applyFont="1" applyAlignment="1">
      <alignment wrapText="1"/>
    </xf>
    <xf numFmtId="14" fontId="39" fillId="0" borderId="0" xfId="0" applyNumberFormat="1" applyFont="1" applyAlignment="1">
      <alignment wrapText="1"/>
    </xf>
    <xf numFmtId="170" fontId="39" fillId="0" borderId="0" xfId="0" applyNumberFormat="1" applyFont="1" applyAlignment="1">
      <alignment horizontal="left" wrapText="1"/>
    </xf>
    <xf numFmtId="14" fontId="0" fillId="0" borderId="0" xfId="0" applyNumberFormat="1"/>
    <xf numFmtId="0" fontId="0" fillId="9" borderId="0" xfId="0" applyFill="1" applyProtection="1">
      <protection locked="0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0" fillId="14" borderId="2" xfId="0" applyFont="1" applyFill="1" applyBorder="1" applyAlignment="1">
      <alignment horizontal="center" vertical="center"/>
    </xf>
    <xf numFmtId="0" fontId="40" fillId="14" borderId="19" xfId="0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0" fontId="41" fillId="2" borderId="0" xfId="0" applyFont="1" applyFill="1" applyAlignment="1" applyProtection="1">
      <alignment horizontal="center" vertical="center"/>
      <protection locked="0"/>
    </xf>
    <xf numFmtId="0" fontId="40" fillId="0" borderId="2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1" fillId="2" borderId="21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0" fontId="35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wrapText="1"/>
    </xf>
    <xf numFmtId="0" fontId="20" fillId="15" borderId="15" xfId="0" applyFont="1" applyFill="1" applyBorder="1" applyAlignment="1">
      <alignment horizontal="center" vertical="center"/>
    </xf>
    <xf numFmtId="0" fontId="20" fillId="15" borderId="15" xfId="0" applyFont="1" applyFill="1" applyBorder="1" applyAlignment="1">
      <alignment horizontal="center"/>
    </xf>
    <xf numFmtId="0" fontId="20" fillId="15" borderId="22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9" fillId="0" borderId="0" xfId="0" applyFont="1" applyAlignment="1">
      <alignment horizontal="center"/>
    </xf>
    <xf numFmtId="0" fontId="28" fillId="12" borderId="16" xfId="0" applyFont="1" applyFill="1" applyBorder="1" applyAlignment="1">
      <alignment horizontal="center"/>
    </xf>
    <xf numFmtId="0" fontId="29" fillId="0" borderId="18" xfId="0" applyFont="1" applyBorder="1"/>
    <xf numFmtId="0" fontId="29" fillId="0" borderId="19" xfId="0" applyFont="1" applyBorder="1"/>
    <xf numFmtId="0" fontId="31" fillId="13" borderId="0" xfId="0" applyFont="1" applyFill="1" applyAlignment="1">
      <alignment horizontal="left" vertical="center" wrapText="1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7" fillId="13" borderId="0" xfId="0" applyFont="1" applyFill="1" applyAlignment="1">
      <alignment horizontal="left" vertical="center" wrapText="1"/>
    </xf>
  </cellXfs>
  <cellStyles count="5">
    <cellStyle name="Comma" xfId="3" builtinId="3"/>
    <cellStyle name="Comma 2" xfId="4" xr:uid="{31270644-EA95-4567-A449-F6C7E65CF12D}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raj rajput" id="{31BD33ED-801E-4F97-90FE-147BA35CFF16}" userId="2aa31bb40422256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7-24T08:53:09.54" personId="{31BD33ED-801E-4F97-90FE-147BA35CFF16}" id="{13EA6597-C71F-46F3-8FE7-EA4223784AE8}">
    <text>Average formula is :-
=avg(total no sum/ total no)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3" dT="2025-01-01T10:06:30.92" personId="{31BD33ED-801E-4F97-90FE-147BA35CFF16}" id="{58FA73BF-4A1C-46B0-997C-B4DB4A77ECDF}">
    <text>In this assignment we learnt many basic function and also advanced function which can be used at Industrial level.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39" dT="2024-07-24T08:50:39.56" personId="{31BD33ED-801E-4F97-90FE-147BA35CFF16}" id="{E8457B46-4878-4D6F-AA38-BB7300CD82D1}">
    <text xml:space="preserve">In this sheet I have used vlookup  formula of excel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sheetPr codeName="Sheet1"/>
  <dimension ref="A2:Q25"/>
  <sheetViews>
    <sheetView topLeftCell="B1" workbookViewId="0">
      <selection activeCell="B2" sqref="B2:Q5"/>
    </sheetView>
  </sheetViews>
  <sheetFormatPr defaultRowHeight="14.4" x14ac:dyDescent="0.3"/>
  <cols>
    <col min="1" max="1" width="2" bestFit="1" customWidth="1"/>
    <col min="2" max="2" width="33.5546875" customWidth="1"/>
    <col min="4" max="4" width="8" bestFit="1" customWidth="1"/>
    <col min="6" max="6" width="47.21875" bestFit="1" customWidth="1"/>
    <col min="7" max="7" width="5.88671875" bestFit="1" customWidth="1"/>
  </cols>
  <sheetData>
    <row r="2" spans="1:17" ht="14.4" customHeight="1" x14ac:dyDescent="0.3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30"/>
    </row>
    <row r="3" spans="1:17" ht="14.4" customHeight="1" x14ac:dyDescent="0.3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3"/>
    </row>
    <row r="4" spans="1:17" ht="14.4" customHeight="1" x14ac:dyDescent="0.3"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3"/>
    </row>
    <row r="5" spans="1:17" ht="15" customHeight="1" x14ac:dyDescent="0.3">
      <c r="B5" s="134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6"/>
    </row>
    <row r="6" spans="1:17" x14ac:dyDescent="0.3">
      <c r="F6" s="8" t="s">
        <v>0</v>
      </c>
      <c r="G6" s="8" t="s">
        <v>1</v>
      </c>
      <c r="H6" s="8" t="s">
        <v>2</v>
      </c>
    </row>
    <row r="7" spans="1:17" x14ac:dyDescent="0.3">
      <c r="F7" s="3" t="s">
        <v>3</v>
      </c>
      <c r="G7" s="3" t="s">
        <v>4</v>
      </c>
      <c r="H7" s="3">
        <v>43</v>
      </c>
    </row>
    <row r="8" spans="1:17" x14ac:dyDescent="0.3">
      <c r="F8" s="3" t="s">
        <v>3</v>
      </c>
      <c r="G8" s="3" t="s">
        <v>5</v>
      </c>
      <c r="H8" s="3">
        <v>59</v>
      </c>
    </row>
    <row r="9" spans="1:17" x14ac:dyDescent="0.3">
      <c r="F9" s="3" t="s">
        <v>3</v>
      </c>
      <c r="G9" s="3" t="s">
        <v>6</v>
      </c>
      <c r="H9" s="3">
        <v>72</v>
      </c>
    </row>
    <row r="10" spans="1:17" x14ac:dyDescent="0.3">
      <c r="F10" s="4" t="s">
        <v>7</v>
      </c>
      <c r="G10" s="4" t="s">
        <v>8</v>
      </c>
      <c r="H10" s="4">
        <v>119</v>
      </c>
    </row>
    <row r="11" spans="1:17" x14ac:dyDescent="0.3">
      <c r="F11" s="4" t="s">
        <v>7</v>
      </c>
      <c r="G11" s="4" t="s">
        <v>9</v>
      </c>
      <c r="H11" s="4">
        <v>175</v>
      </c>
    </row>
    <row r="12" spans="1:17" x14ac:dyDescent="0.3">
      <c r="F12" s="4" t="s">
        <v>7</v>
      </c>
      <c r="G12" s="4" t="s">
        <v>10</v>
      </c>
      <c r="H12" s="4">
        <v>192</v>
      </c>
    </row>
    <row r="13" spans="1:17" x14ac:dyDescent="0.3">
      <c r="F13" s="5" t="s">
        <v>11</v>
      </c>
      <c r="G13" s="5" t="s">
        <v>12</v>
      </c>
      <c r="H13" s="5">
        <v>240</v>
      </c>
    </row>
    <row r="14" spans="1:17" x14ac:dyDescent="0.3">
      <c r="F14" s="5" t="s">
        <v>11</v>
      </c>
      <c r="G14" s="5" t="s">
        <v>13</v>
      </c>
      <c r="H14" s="5">
        <v>405</v>
      </c>
    </row>
    <row r="15" spans="1:17" x14ac:dyDescent="0.3">
      <c r="F15" s="5" t="s">
        <v>11</v>
      </c>
      <c r="G15" s="5" t="s">
        <v>14</v>
      </c>
      <c r="H15" s="5">
        <v>522</v>
      </c>
    </row>
    <row r="16" spans="1:17" x14ac:dyDescent="0.3">
      <c r="A16" s="1">
        <v>1</v>
      </c>
    </row>
    <row r="17" spans="1:8" x14ac:dyDescent="0.3">
      <c r="F17" s="2" t="s">
        <v>15</v>
      </c>
    </row>
    <row r="18" spans="1:8" ht="15" thickBot="1" x14ac:dyDescent="0.35">
      <c r="A18" s="1">
        <v>2</v>
      </c>
    </row>
    <row r="19" spans="1:8" ht="15" thickBot="1" x14ac:dyDescent="0.35">
      <c r="E19" s="1">
        <v>1</v>
      </c>
      <c r="F19" s="1" t="s">
        <v>16</v>
      </c>
      <c r="H19" s="6">
        <f>AVERAGE(H7:H9)</f>
        <v>58</v>
      </c>
    </row>
    <row r="20" spans="1:8" ht="15" thickBot="1" x14ac:dyDescent="0.35">
      <c r="A20" s="1">
        <v>3</v>
      </c>
    </row>
    <row r="21" spans="1:8" ht="15" thickBot="1" x14ac:dyDescent="0.35">
      <c r="E21" s="1">
        <v>2</v>
      </c>
      <c r="F21" s="1" t="s">
        <v>17</v>
      </c>
      <c r="H21" s="6">
        <f>AVERAGE(H10:H12)</f>
        <v>162</v>
      </c>
    </row>
    <row r="22" spans="1:8" ht="15" thickBot="1" x14ac:dyDescent="0.35">
      <c r="A22" s="1">
        <v>4</v>
      </c>
    </row>
    <row r="23" spans="1:8" ht="15" thickBot="1" x14ac:dyDescent="0.35">
      <c r="E23" s="1">
        <v>3</v>
      </c>
      <c r="F23" s="1" t="s">
        <v>18</v>
      </c>
      <c r="H23" s="6">
        <f>AVERAGE(H13:H15)</f>
        <v>389</v>
      </c>
    </row>
    <row r="24" spans="1:8" ht="15" thickBot="1" x14ac:dyDescent="0.35"/>
    <row r="25" spans="1:8" ht="15" thickBot="1" x14ac:dyDescent="0.35">
      <c r="E25" s="1">
        <v>4</v>
      </c>
      <c r="F25" s="1" t="s">
        <v>19</v>
      </c>
      <c r="H25" s="7">
        <f>AVERAGE(H7:H15)</f>
        <v>203</v>
      </c>
    </row>
  </sheetData>
  <mergeCells count="1">
    <mergeCell ref="B2:Q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A421-52D7-4D9C-9C3D-A73E38926514}">
  <sheetPr codeName="Sheet2"/>
  <dimension ref="A1:M27"/>
  <sheetViews>
    <sheetView topLeftCell="A3" workbookViewId="0">
      <selection activeCell="C11" sqref="C11"/>
    </sheetView>
  </sheetViews>
  <sheetFormatPr defaultRowHeight="14.4" x14ac:dyDescent="0.3"/>
  <cols>
    <col min="3" max="3" width="99" bestFit="1" customWidth="1"/>
    <col min="4" max="4" width="12" bestFit="1" customWidth="1"/>
    <col min="5" max="5" width="12.33203125" bestFit="1" customWidth="1"/>
  </cols>
  <sheetData>
    <row r="1" spans="1:13" x14ac:dyDescent="0.3">
      <c r="A1" s="137" t="s">
        <v>38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</row>
    <row r="2" spans="1:13" x14ac:dyDescent="0.3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</row>
    <row r="3" spans="1:13" x14ac:dyDescent="0.3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</row>
    <row r="4" spans="1:13" x14ac:dyDescent="0.3">
      <c r="C4" s="1" t="s">
        <v>20</v>
      </c>
    </row>
    <row r="5" spans="1:13" x14ac:dyDescent="0.3">
      <c r="C5" s="1" t="s">
        <v>21</v>
      </c>
    </row>
    <row r="6" spans="1:13" x14ac:dyDescent="0.3">
      <c r="C6" s="2" t="s">
        <v>22</v>
      </c>
      <c r="D6" s="2" t="s">
        <v>23</v>
      </c>
      <c r="E6" s="2" t="s">
        <v>24</v>
      </c>
    </row>
    <row r="7" spans="1:13" x14ac:dyDescent="0.3">
      <c r="C7" s="1" t="s">
        <v>25</v>
      </c>
      <c r="D7" s="10">
        <v>43101</v>
      </c>
      <c r="E7" s="1">
        <v>152</v>
      </c>
    </row>
    <row r="8" spans="1:13" x14ac:dyDescent="0.3">
      <c r="C8" s="1" t="s">
        <v>26</v>
      </c>
      <c r="D8" s="10">
        <v>43101</v>
      </c>
      <c r="E8" s="1">
        <v>171</v>
      </c>
    </row>
    <row r="9" spans="1:13" x14ac:dyDescent="0.3">
      <c r="C9" s="1" t="s">
        <v>27</v>
      </c>
      <c r="D9" s="10">
        <v>43101</v>
      </c>
      <c r="E9" s="1">
        <v>110</v>
      </c>
    </row>
    <row r="10" spans="1:13" x14ac:dyDescent="0.3">
      <c r="C10" s="1" t="s">
        <v>28</v>
      </c>
      <c r="D10" s="10">
        <v>43132</v>
      </c>
      <c r="E10" s="1">
        <v>173</v>
      </c>
    </row>
    <row r="11" spans="1:13" x14ac:dyDescent="0.3">
      <c r="C11" s="1" t="s">
        <v>29</v>
      </c>
      <c r="D11" s="10">
        <v>43132</v>
      </c>
      <c r="E11" s="1">
        <v>128</v>
      </c>
    </row>
    <row r="12" spans="1:13" x14ac:dyDescent="0.3">
      <c r="C12" s="1" t="s">
        <v>30</v>
      </c>
      <c r="D12" s="10">
        <v>43132</v>
      </c>
      <c r="E12" s="1">
        <v>107</v>
      </c>
    </row>
    <row r="13" spans="1:13" x14ac:dyDescent="0.3">
      <c r="C13" s="1" t="s">
        <v>31</v>
      </c>
      <c r="D13" s="10">
        <v>43160</v>
      </c>
      <c r="E13" s="1">
        <v>213</v>
      </c>
    </row>
    <row r="14" spans="1:13" x14ac:dyDescent="0.3">
      <c r="C14" s="1" t="s">
        <v>32</v>
      </c>
      <c r="D14" s="10">
        <v>43160</v>
      </c>
      <c r="E14" s="1">
        <v>238</v>
      </c>
    </row>
    <row r="15" spans="1:13" x14ac:dyDescent="0.3">
      <c r="C15" s="1" t="s">
        <v>33</v>
      </c>
      <c r="D15" s="10">
        <v>43160</v>
      </c>
      <c r="E15" s="1">
        <v>131</v>
      </c>
    </row>
    <row r="17" spans="3:5" x14ac:dyDescent="0.3">
      <c r="C17" s="1" t="s">
        <v>34</v>
      </c>
    </row>
    <row r="19" spans="3:5" x14ac:dyDescent="0.3">
      <c r="C19" s="10">
        <v>43101</v>
      </c>
      <c r="D19" s="11">
        <f>AVERAGE(E7:E9)</f>
        <v>144.33333333333334</v>
      </c>
      <c r="E19" s="1"/>
    </row>
    <row r="20" spans="3:5" x14ac:dyDescent="0.3">
      <c r="C20" s="10">
        <v>43132</v>
      </c>
      <c r="D20" s="11">
        <f>AVERAGE(E10:E12)</f>
        <v>136</v>
      </c>
      <c r="E20" s="1"/>
    </row>
    <row r="21" spans="3:5" x14ac:dyDescent="0.3">
      <c r="C21" s="10">
        <v>43160</v>
      </c>
      <c r="D21" s="11">
        <f>AVERAGE(E13:E15)</f>
        <v>194</v>
      </c>
      <c r="E21" s="1"/>
    </row>
    <row r="24" spans="3:5" x14ac:dyDescent="0.3">
      <c r="C24" s="1" t="s">
        <v>35</v>
      </c>
    </row>
    <row r="26" spans="3:5" x14ac:dyDescent="0.3">
      <c r="C26" s="1" t="s">
        <v>36</v>
      </c>
      <c r="D26" s="11">
        <f>SUM(E7:E15)/COUNT(E7:E15)</f>
        <v>158.11111111111111</v>
      </c>
      <c r="E26" s="1"/>
    </row>
    <row r="27" spans="3:5" x14ac:dyDescent="0.3">
      <c r="C27" s="1" t="s">
        <v>37</v>
      </c>
      <c r="D27" s="11">
        <f>AVERAGE(E7:E15)</f>
        <v>158.11111111111111</v>
      </c>
      <c r="E27" s="1"/>
    </row>
  </sheetData>
  <mergeCells count="1">
    <mergeCell ref="A1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A9E9-1198-42EA-AD1C-65C83245D6F0}">
  <sheetPr codeName="Sheet3"/>
  <dimension ref="A2:W24"/>
  <sheetViews>
    <sheetView tabSelected="1" topLeftCell="B1" workbookViewId="0">
      <selection activeCell="E1" sqref="E1"/>
    </sheetView>
  </sheetViews>
  <sheetFormatPr defaultRowHeight="14.4" x14ac:dyDescent="0.3"/>
  <cols>
    <col min="2" max="2" width="7.88671875" customWidth="1"/>
    <col min="3" max="3" width="19.21875" customWidth="1"/>
  </cols>
  <sheetData>
    <row r="2" spans="1:23" x14ac:dyDescent="0.3">
      <c r="A2" s="139" t="s">
        <v>57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1"/>
    </row>
    <row r="3" spans="1:23" x14ac:dyDescent="0.3">
      <c r="A3" s="142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43"/>
    </row>
    <row r="4" spans="1:23" x14ac:dyDescent="0.3">
      <c r="A4" s="142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43"/>
    </row>
    <row r="5" spans="1:23" x14ac:dyDescent="0.3">
      <c r="A5" s="144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6"/>
    </row>
    <row r="7" spans="1:23" x14ac:dyDescent="0.3">
      <c r="B7" s="12" t="s">
        <v>40</v>
      </c>
      <c r="C7" s="13"/>
      <c r="D7" s="13"/>
      <c r="E7" s="13"/>
      <c r="F7" s="13"/>
      <c r="G7" s="13"/>
      <c r="H7" s="13"/>
    </row>
    <row r="8" spans="1:23" x14ac:dyDescent="0.3">
      <c r="B8" s="14" t="s">
        <v>41</v>
      </c>
      <c r="C8" s="13"/>
      <c r="D8" s="13"/>
      <c r="E8" s="13"/>
      <c r="F8" s="13"/>
      <c r="G8" s="13"/>
      <c r="H8" s="13"/>
    </row>
    <row r="9" spans="1:23" x14ac:dyDescent="0.3">
      <c r="B9" s="15" t="s">
        <v>42</v>
      </c>
      <c r="C9" s="16" t="s">
        <v>43</v>
      </c>
      <c r="D9" s="13"/>
      <c r="E9" s="13"/>
      <c r="F9" s="13"/>
      <c r="G9" s="13"/>
      <c r="H9" s="13"/>
    </row>
    <row r="10" spans="1:23" x14ac:dyDescent="0.3">
      <c r="B10" s="15" t="s">
        <v>44</v>
      </c>
      <c r="C10" s="17">
        <v>7</v>
      </c>
      <c r="D10" s="13"/>
      <c r="E10" s="13"/>
      <c r="F10" s="13"/>
      <c r="G10" s="13"/>
      <c r="H10" s="13"/>
    </row>
    <row r="11" spans="1:23" x14ac:dyDescent="0.3">
      <c r="B11" s="15" t="s">
        <v>45</v>
      </c>
      <c r="C11" s="17">
        <v>5</v>
      </c>
      <c r="D11" s="13"/>
      <c r="E11" s="13"/>
      <c r="F11" s="13"/>
      <c r="G11" s="13"/>
      <c r="H11" s="13"/>
    </row>
    <row r="12" spans="1:23" x14ac:dyDescent="0.3">
      <c r="B12" s="15" t="s">
        <v>46</v>
      </c>
      <c r="C12" s="17">
        <v>6</v>
      </c>
      <c r="D12" s="13"/>
      <c r="E12" s="13"/>
      <c r="F12" s="13"/>
      <c r="G12" s="13"/>
      <c r="H12" s="13"/>
    </row>
    <row r="13" spans="1:23" x14ac:dyDescent="0.3">
      <c r="B13" s="15" t="s">
        <v>47</v>
      </c>
      <c r="C13" s="17">
        <v>4</v>
      </c>
      <c r="D13" s="13"/>
      <c r="E13" s="13"/>
      <c r="F13" s="13"/>
      <c r="G13" s="13"/>
      <c r="H13" s="13"/>
    </row>
    <row r="14" spans="1:23" x14ac:dyDescent="0.3">
      <c r="B14" s="15" t="s">
        <v>48</v>
      </c>
      <c r="C14" s="17" t="s">
        <v>49</v>
      </c>
      <c r="D14" s="13"/>
      <c r="E14" s="13"/>
      <c r="F14" s="13"/>
      <c r="G14" s="13"/>
      <c r="H14" s="13"/>
    </row>
    <row r="15" spans="1:23" x14ac:dyDescent="0.3">
      <c r="B15" s="15" t="s">
        <v>50</v>
      </c>
      <c r="C15" s="17" t="s">
        <v>51</v>
      </c>
      <c r="D15" s="13"/>
      <c r="E15" s="13"/>
      <c r="F15" s="13"/>
      <c r="G15" s="13"/>
      <c r="H15" s="13"/>
    </row>
    <row r="16" spans="1:23" x14ac:dyDescent="0.3">
      <c r="B16" s="15" t="s">
        <v>52</v>
      </c>
      <c r="C16" s="17" t="s">
        <v>52</v>
      </c>
      <c r="D16" s="13"/>
      <c r="E16" s="13"/>
      <c r="F16" s="13"/>
      <c r="G16" s="13"/>
      <c r="H16" s="13"/>
    </row>
    <row r="17" spans="2:8" x14ac:dyDescent="0.3">
      <c r="B17" s="13"/>
      <c r="C17" s="13"/>
      <c r="D17" s="13"/>
      <c r="E17" s="13"/>
      <c r="F17" s="13"/>
      <c r="G17" s="13"/>
      <c r="H17" s="13"/>
    </row>
    <row r="18" spans="2:8" x14ac:dyDescent="0.3">
      <c r="B18" s="14" t="s">
        <v>53</v>
      </c>
      <c r="C18" s="13"/>
      <c r="D18" s="13"/>
      <c r="E18" s="13"/>
      <c r="F18" s="13"/>
      <c r="G18" s="13"/>
      <c r="H18" s="13"/>
    </row>
    <row r="19" spans="2:8" x14ac:dyDescent="0.3">
      <c r="B19" s="13"/>
      <c r="C19" s="13"/>
      <c r="D19" s="13"/>
      <c r="E19" s="13"/>
      <c r="F19" s="13"/>
      <c r="G19" s="13"/>
      <c r="H19" s="13"/>
    </row>
    <row r="20" spans="2:8" ht="15" thickBot="1" x14ac:dyDescent="0.35">
      <c r="B20" s="14" t="s">
        <v>54</v>
      </c>
      <c r="C20" s="14" t="s">
        <v>55</v>
      </c>
      <c r="D20" s="13"/>
      <c r="E20" s="13"/>
      <c r="F20" s="13"/>
      <c r="G20" s="13"/>
      <c r="H20" s="13"/>
    </row>
    <row r="21" spans="2:8" ht="15" thickBot="1" x14ac:dyDescent="0.35">
      <c r="B21" s="14" t="s">
        <v>43</v>
      </c>
      <c r="C21" s="18">
        <f>COUNT(C10:C13)</f>
        <v>4</v>
      </c>
      <c r="D21" s="14"/>
      <c r="E21" s="13"/>
      <c r="F21" s="13"/>
      <c r="G21" s="13"/>
      <c r="H21" s="13"/>
    </row>
    <row r="22" spans="2:8" x14ac:dyDescent="0.3">
      <c r="B22" s="13"/>
      <c r="C22" s="13"/>
      <c r="D22" s="13"/>
      <c r="E22" s="13"/>
      <c r="F22" s="13"/>
      <c r="G22" s="13"/>
      <c r="H22" s="13"/>
    </row>
    <row r="23" spans="2:8" ht="15" thickBot="1" x14ac:dyDescent="0.35">
      <c r="B23" s="14" t="s">
        <v>54</v>
      </c>
      <c r="C23" s="14" t="s">
        <v>56</v>
      </c>
      <c r="D23" s="13"/>
      <c r="E23" s="13"/>
      <c r="F23" s="13"/>
      <c r="G23" s="13"/>
      <c r="H23" s="13"/>
    </row>
    <row r="24" spans="2:8" ht="15" thickBot="1" x14ac:dyDescent="0.35">
      <c r="B24" s="14" t="s">
        <v>43</v>
      </c>
      <c r="C24" s="18">
        <f>COUNTA(C10:C16)</f>
        <v>7</v>
      </c>
      <c r="D24" s="14"/>
      <c r="E24" s="13"/>
      <c r="F24" s="13"/>
      <c r="G24" s="13"/>
      <c r="H24" s="13"/>
    </row>
  </sheetData>
  <mergeCells count="1">
    <mergeCell ref="A2:W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2E97-F871-4788-A76B-E14F1EA06DD4}">
  <sheetPr codeName="Sheet4"/>
  <dimension ref="A1:U32"/>
  <sheetViews>
    <sheetView topLeftCell="A8" workbookViewId="0">
      <selection sqref="A1:U5"/>
    </sheetView>
  </sheetViews>
  <sheetFormatPr defaultRowHeight="14.4" x14ac:dyDescent="0.3"/>
  <cols>
    <col min="2" max="2" width="18.33203125" customWidth="1"/>
    <col min="3" max="3" width="19.33203125" customWidth="1"/>
    <col min="4" max="4" width="10.5546875" customWidth="1"/>
  </cols>
  <sheetData>
    <row r="1" spans="1:21" ht="14.4" customHeight="1" x14ac:dyDescent="0.3">
      <c r="A1" s="137" t="s">
        <v>80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x14ac:dyDescent="0.3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</row>
    <row r="3" spans="1:21" x14ac:dyDescent="0.3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</row>
    <row r="4" spans="1:21" x14ac:dyDescent="0.3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</row>
    <row r="5" spans="1:21" x14ac:dyDescent="0.3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7" spans="1:21" x14ac:dyDescent="0.3">
      <c r="B7" s="19" t="s">
        <v>58</v>
      </c>
      <c r="C7" s="19" t="s">
        <v>59</v>
      </c>
      <c r="D7" s="19" t="s">
        <v>60</v>
      </c>
      <c r="E7" s="20"/>
      <c r="F7" s="20"/>
      <c r="G7" s="20"/>
      <c r="H7" s="21"/>
      <c r="I7" s="21"/>
    </row>
    <row r="8" spans="1:21" x14ac:dyDescent="0.3">
      <c r="B8" s="22">
        <v>101</v>
      </c>
      <c r="C8" s="22" t="s">
        <v>61</v>
      </c>
      <c r="D8" s="23">
        <v>78022</v>
      </c>
      <c r="E8" s="20"/>
      <c r="F8" s="20"/>
      <c r="G8" s="20"/>
      <c r="H8" s="21"/>
      <c r="I8" s="21"/>
    </row>
    <row r="9" spans="1:21" x14ac:dyDescent="0.3">
      <c r="B9" s="22">
        <v>102</v>
      </c>
      <c r="C9" s="22" t="s">
        <v>62</v>
      </c>
      <c r="D9" s="23">
        <v>99819</v>
      </c>
      <c r="E9" s="20"/>
      <c r="F9" s="20"/>
      <c r="G9" s="20"/>
      <c r="H9" s="21"/>
      <c r="I9" s="21"/>
    </row>
    <row r="10" spans="1:21" x14ac:dyDescent="0.3">
      <c r="B10" s="22">
        <v>103</v>
      </c>
      <c r="C10" s="22" t="s">
        <v>63</v>
      </c>
      <c r="D10" s="24" t="s">
        <v>64</v>
      </c>
      <c r="E10" s="20"/>
      <c r="F10" s="20"/>
      <c r="G10" s="20"/>
      <c r="H10" s="21"/>
      <c r="I10" s="21"/>
    </row>
    <row r="11" spans="1:21" x14ac:dyDescent="0.3">
      <c r="B11" s="22">
        <v>104</v>
      </c>
      <c r="C11" s="22" t="s">
        <v>65</v>
      </c>
      <c r="D11" s="23">
        <v>27522</v>
      </c>
      <c r="E11" s="20"/>
      <c r="F11" s="20"/>
      <c r="G11" s="20"/>
      <c r="H11" s="21"/>
      <c r="I11" s="21"/>
    </row>
    <row r="12" spans="1:21" x14ac:dyDescent="0.3">
      <c r="B12" s="22">
        <v>105</v>
      </c>
      <c r="C12" s="22" t="s">
        <v>66</v>
      </c>
      <c r="D12" s="25">
        <v>0</v>
      </c>
      <c r="E12" s="20"/>
      <c r="F12" s="20"/>
      <c r="G12" s="20"/>
      <c r="H12" s="21"/>
      <c r="I12" s="21"/>
    </row>
    <row r="13" spans="1:21" x14ac:dyDescent="0.3">
      <c r="B13" s="22">
        <v>106</v>
      </c>
      <c r="C13" s="22" t="s">
        <v>67</v>
      </c>
      <c r="D13" s="25"/>
      <c r="E13" s="20"/>
      <c r="F13" s="20"/>
      <c r="G13" s="20"/>
      <c r="H13" s="21"/>
      <c r="I13" s="21"/>
    </row>
    <row r="14" spans="1:21" x14ac:dyDescent="0.3">
      <c r="B14" s="22">
        <v>107</v>
      </c>
      <c r="C14" s="22" t="s">
        <v>68</v>
      </c>
      <c r="D14" s="25">
        <v>0</v>
      </c>
      <c r="E14" s="20"/>
      <c r="F14" s="20"/>
      <c r="G14" s="20"/>
      <c r="H14" s="21"/>
      <c r="I14" s="21"/>
    </row>
    <row r="15" spans="1:21" x14ac:dyDescent="0.3">
      <c r="B15" s="22">
        <v>108</v>
      </c>
      <c r="C15" s="22" t="s">
        <v>69</v>
      </c>
      <c r="D15" s="23">
        <v>88041</v>
      </c>
      <c r="E15" s="20"/>
      <c r="F15" s="20"/>
      <c r="G15" s="20"/>
      <c r="H15" s="21"/>
      <c r="I15" s="21"/>
    </row>
    <row r="16" spans="1:21" x14ac:dyDescent="0.3">
      <c r="B16" s="22">
        <v>109</v>
      </c>
      <c r="C16" s="22" t="s">
        <v>70</v>
      </c>
      <c r="D16" s="23">
        <v>81831</v>
      </c>
      <c r="E16" s="20"/>
      <c r="F16" s="20"/>
      <c r="G16" s="20"/>
      <c r="H16" s="21"/>
      <c r="I16" s="21"/>
    </row>
    <row r="17" spans="2:9" x14ac:dyDescent="0.3">
      <c r="B17" s="22">
        <v>110</v>
      </c>
      <c r="C17" s="22" t="s">
        <v>71</v>
      </c>
      <c r="D17" s="24" t="s">
        <v>64</v>
      </c>
      <c r="E17" s="20"/>
      <c r="F17" s="20"/>
      <c r="G17" s="20"/>
      <c r="H17" s="21"/>
      <c r="I17" s="21"/>
    </row>
    <row r="18" spans="2:9" x14ac:dyDescent="0.3">
      <c r="B18" s="22">
        <v>111</v>
      </c>
      <c r="C18" s="22" t="s">
        <v>72</v>
      </c>
      <c r="D18" s="23"/>
      <c r="E18" s="20"/>
      <c r="F18" s="20"/>
      <c r="G18" s="20"/>
      <c r="H18" s="21"/>
      <c r="I18" s="21"/>
    </row>
    <row r="19" spans="2:9" x14ac:dyDescent="0.3">
      <c r="B19" s="22">
        <v>112</v>
      </c>
      <c r="C19" s="22" t="s">
        <v>73</v>
      </c>
      <c r="D19" s="23">
        <v>26624</v>
      </c>
      <c r="E19" s="20"/>
      <c r="F19" s="20"/>
      <c r="G19" s="20"/>
      <c r="H19" s="21"/>
      <c r="I19" s="21"/>
    </row>
    <row r="20" spans="2:9" x14ac:dyDescent="0.3">
      <c r="B20" s="22">
        <v>113</v>
      </c>
      <c r="C20" s="22" t="s">
        <v>74</v>
      </c>
      <c r="D20" s="23">
        <v>92885</v>
      </c>
      <c r="E20" s="20"/>
      <c r="F20" s="20"/>
      <c r="G20" s="20"/>
      <c r="H20" s="21"/>
      <c r="I20" s="21"/>
    </row>
    <row r="21" spans="2:9" ht="24" x14ac:dyDescent="0.3">
      <c r="B21" s="22">
        <v>114</v>
      </c>
      <c r="C21" s="22" t="s">
        <v>75</v>
      </c>
      <c r="D21" s="25">
        <v>0</v>
      </c>
      <c r="E21" s="20"/>
      <c r="F21" s="20"/>
      <c r="G21" s="20"/>
      <c r="H21" s="21"/>
      <c r="I21" s="21"/>
    </row>
    <row r="22" spans="2:9" x14ac:dyDescent="0.3">
      <c r="B22" s="20"/>
      <c r="C22" s="20"/>
      <c r="D22" s="20"/>
      <c r="E22" s="20"/>
      <c r="F22" s="20"/>
      <c r="G22" s="20"/>
      <c r="H22" s="21"/>
      <c r="I22" s="21"/>
    </row>
    <row r="23" spans="2:9" x14ac:dyDescent="0.3">
      <c r="B23" s="26" t="s">
        <v>76</v>
      </c>
      <c r="C23" s="20"/>
      <c r="D23" s="20"/>
      <c r="E23" s="20"/>
      <c r="F23" s="20"/>
      <c r="G23" s="20"/>
      <c r="H23" s="21"/>
      <c r="I23" s="21"/>
    </row>
    <row r="24" spans="2:9" ht="15" thickBot="1" x14ac:dyDescent="0.35">
      <c r="B24" s="20" t="s">
        <v>54</v>
      </c>
      <c r="C24" s="20" t="s">
        <v>77</v>
      </c>
      <c r="D24" s="20"/>
      <c r="E24" s="20"/>
      <c r="F24" s="20"/>
      <c r="G24" s="20"/>
      <c r="H24" s="21"/>
      <c r="I24" s="21"/>
    </row>
    <row r="25" spans="2:9" ht="15" thickBot="1" x14ac:dyDescent="0.35">
      <c r="B25" s="20" t="s">
        <v>43</v>
      </c>
      <c r="C25" s="27">
        <f>COUNT(D8:D21)</f>
        <v>10</v>
      </c>
      <c r="D25" s="20"/>
      <c r="E25" s="20"/>
      <c r="F25" s="20"/>
      <c r="G25" s="20"/>
      <c r="H25" s="21"/>
      <c r="I25" s="21"/>
    </row>
    <row r="26" spans="2:9" x14ac:dyDescent="0.3">
      <c r="B26" s="20"/>
      <c r="C26" s="20"/>
      <c r="D26" s="20"/>
      <c r="E26" s="20"/>
      <c r="F26" s="20"/>
      <c r="G26" s="20"/>
      <c r="H26" s="21"/>
      <c r="I26" s="21"/>
    </row>
    <row r="27" spans="2:9" x14ac:dyDescent="0.3">
      <c r="B27" s="20"/>
      <c r="C27" s="20" t="s">
        <v>78</v>
      </c>
      <c r="D27" s="20"/>
      <c r="E27" s="20"/>
      <c r="F27" s="20"/>
      <c r="G27" s="20"/>
      <c r="H27" s="21"/>
      <c r="I27" s="21"/>
    </row>
    <row r="28" spans="2:9" x14ac:dyDescent="0.3">
      <c r="B28" s="20"/>
      <c r="C28" s="20"/>
      <c r="D28" s="20"/>
      <c r="E28" s="20"/>
      <c r="F28" s="20"/>
      <c r="G28" s="20"/>
      <c r="H28" s="21"/>
      <c r="I28" s="21"/>
    </row>
    <row r="29" spans="2:9" x14ac:dyDescent="0.3">
      <c r="B29" s="20"/>
      <c r="C29" s="20"/>
      <c r="D29" s="20"/>
      <c r="E29" s="20"/>
      <c r="F29" s="20"/>
      <c r="G29" s="20"/>
      <c r="H29" s="21"/>
      <c r="I29" s="21"/>
    </row>
    <row r="30" spans="2:9" ht="15" thickBot="1" x14ac:dyDescent="0.35">
      <c r="B30" s="20" t="s">
        <v>54</v>
      </c>
      <c r="C30" s="20" t="s">
        <v>79</v>
      </c>
      <c r="D30" s="20"/>
      <c r="E30" s="20"/>
      <c r="F30" s="20"/>
      <c r="G30" s="20"/>
      <c r="H30" s="21"/>
      <c r="I30" s="21"/>
    </row>
    <row r="31" spans="2:9" ht="15" thickBot="1" x14ac:dyDescent="0.35">
      <c r="B31" s="20" t="s">
        <v>43</v>
      </c>
      <c r="C31" s="27">
        <f>COUNTA(D8:D21)</f>
        <v>12</v>
      </c>
      <c r="D31" s="20"/>
      <c r="E31" s="20"/>
      <c r="F31" s="20"/>
      <c r="G31" s="20"/>
      <c r="H31" s="21"/>
      <c r="I31" s="21"/>
    </row>
    <row r="32" spans="2:9" x14ac:dyDescent="0.3">
      <c r="B32" s="21"/>
      <c r="C32" s="21"/>
      <c r="D32" s="21"/>
      <c r="E32" s="21"/>
      <c r="F32" s="21"/>
      <c r="G32" s="21"/>
      <c r="H32" s="21"/>
      <c r="I32" s="21"/>
    </row>
  </sheetData>
  <mergeCells count="1">
    <mergeCell ref="A1:U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AE21-FA02-488A-BA5C-80F0DC26168E}">
  <sheetPr codeName="Sheet5"/>
  <dimension ref="P8:U33"/>
  <sheetViews>
    <sheetView topLeftCell="M2" workbookViewId="0">
      <selection activeCell="AE9" sqref="AE9"/>
    </sheetView>
  </sheetViews>
  <sheetFormatPr defaultRowHeight="14.4" x14ac:dyDescent="0.3"/>
  <cols>
    <col min="17" max="17" width="24.77734375" customWidth="1"/>
  </cols>
  <sheetData>
    <row r="8" spans="16:21" ht="15" thickBot="1" x14ac:dyDescent="0.35">
      <c r="P8" s="13"/>
      <c r="Q8" s="13"/>
      <c r="R8" s="13"/>
      <c r="S8" s="13"/>
      <c r="T8" s="13"/>
      <c r="U8" s="13"/>
    </row>
    <row r="9" spans="16:21" x14ac:dyDescent="0.3">
      <c r="P9" s="13"/>
      <c r="Q9" s="29"/>
      <c r="R9" s="13"/>
      <c r="S9" s="13"/>
      <c r="T9" s="13"/>
      <c r="U9" s="13"/>
    </row>
    <row r="10" spans="16:21" x14ac:dyDescent="0.3">
      <c r="P10" s="13"/>
      <c r="Q10" s="30" t="s">
        <v>81</v>
      </c>
      <c r="R10" s="13"/>
      <c r="S10" s="13"/>
      <c r="T10" s="13"/>
      <c r="U10" s="13"/>
    </row>
    <row r="11" spans="16:21" x14ac:dyDescent="0.3">
      <c r="P11" s="13"/>
      <c r="Q11" s="30">
        <v>4</v>
      </c>
      <c r="R11" s="13"/>
      <c r="S11" s="13"/>
      <c r="T11" s="13"/>
      <c r="U11" s="13"/>
    </row>
    <row r="12" spans="16:21" x14ac:dyDescent="0.3">
      <c r="P12" s="13"/>
      <c r="Q12" s="30"/>
      <c r="R12" s="13"/>
      <c r="S12" s="13"/>
      <c r="T12" s="13"/>
      <c r="U12" s="13"/>
    </row>
    <row r="13" spans="16:21" x14ac:dyDescent="0.3">
      <c r="P13" s="13"/>
      <c r="Q13" s="30">
        <v>3</v>
      </c>
      <c r="R13" s="13"/>
      <c r="S13" s="13"/>
      <c r="T13" s="13"/>
      <c r="U13" s="13"/>
    </row>
    <row r="14" spans="16:21" x14ac:dyDescent="0.3">
      <c r="P14" s="13"/>
      <c r="Q14" s="30"/>
      <c r="R14" s="13"/>
      <c r="S14" s="13"/>
      <c r="T14" s="13"/>
      <c r="U14" s="13"/>
    </row>
    <row r="15" spans="16:21" x14ac:dyDescent="0.3">
      <c r="P15" s="13"/>
      <c r="Q15" s="30" t="s">
        <v>82</v>
      </c>
      <c r="R15" s="13"/>
      <c r="S15" s="13"/>
      <c r="T15" s="13"/>
      <c r="U15" s="13"/>
    </row>
    <row r="16" spans="16:21" x14ac:dyDescent="0.3">
      <c r="P16" s="13"/>
      <c r="Q16" s="30"/>
      <c r="R16" s="13"/>
      <c r="S16" s="13"/>
      <c r="T16" s="13"/>
      <c r="U16" s="13"/>
    </row>
    <row r="17" spans="16:21" x14ac:dyDescent="0.3">
      <c r="P17" s="13"/>
      <c r="Q17" s="30" t="e">
        <v>#DIV/0!</v>
      </c>
      <c r="R17" s="13"/>
      <c r="S17" s="13"/>
      <c r="T17" s="13"/>
      <c r="U17" s="13"/>
    </row>
    <row r="18" spans="16:21" x14ac:dyDescent="0.3">
      <c r="P18" s="13"/>
      <c r="Q18" s="30" t="s">
        <v>83</v>
      </c>
      <c r="R18" s="13"/>
      <c r="S18" s="13"/>
      <c r="T18" s="13"/>
      <c r="U18" s="13"/>
    </row>
    <row r="19" spans="16:21" ht="15" thickBot="1" x14ac:dyDescent="0.35">
      <c r="P19" s="13"/>
      <c r="Q19" s="31" t="s">
        <v>84</v>
      </c>
      <c r="R19" s="13"/>
      <c r="S19" s="13"/>
      <c r="T19" s="13"/>
      <c r="U19" s="13"/>
    </row>
    <row r="20" spans="16:21" x14ac:dyDescent="0.3">
      <c r="P20" s="13"/>
      <c r="Q20" s="13"/>
      <c r="R20" s="13"/>
      <c r="S20" s="13"/>
      <c r="T20" s="13"/>
      <c r="U20" s="13"/>
    </row>
    <row r="21" spans="16:21" x14ac:dyDescent="0.3">
      <c r="P21" s="13"/>
      <c r="Q21" s="14" t="s">
        <v>85</v>
      </c>
      <c r="R21" s="13"/>
      <c r="S21" s="13"/>
      <c r="T21" s="13"/>
      <c r="U21" s="13"/>
    </row>
    <row r="22" spans="16:21" x14ac:dyDescent="0.3">
      <c r="P22" s="13"/>
      <c r="Q22" s="13"/>
      <c r="R22" s="13"/>
      <c r="S22" s="13"/>
      <c r="T22" s="13"/>
      <c r="U22" s="13"/>
    </row>
    <row r="23" spans="16:21" x14ac:dyDescent="0.3">
      <c r="P23" s="14">
        <v>1</v>
      </c>
      <c r="Q23" s="14" t="s">
        <v>86</v>
      </c>
      <c r="R23" s="13"/>
      <c r="S23" s="13"/>
      <c r="T23" s="13"/>
      <c r="U23" s="13"/>
    </row>
    <row r="24" spans="16:21" x14ac:dyDescent="0.3">
      <c r="P24" s="13"/>
      <c r="Q24" s="32">
        <f>COUNT(Q9:Q19)</f>
        <v>2</v>
      </c>
      <c r="R24" s="14"/>
      <c r="S24" s="13"/>
      <c r="T24" s="13"/>
      <c r="U24" s="13"/>
    </row>
    <row r="25" spans="16:21" x14ac:dyDescent="0.3">
      <c r="P25" s="13"/>
      <c r="Q25" s="13"/>
      <c r="R25" s="13"/>
      <c r="S25" s="13"/>
      <c r="T25" s="13"/>
      <c r="U25" s="13"/>
    </row>
    <row r="26" spans="16:21" x14ac:dyDescent="0.3">
      <c r="P26" s="14">
        <v>2</v>
      </c>
      <c r="Q26" s="14" t="s">
        <v>87</v>
      </c>
      <c r="R26" s="13"/>
      <c r="S26" s="13"/>
      <c r="T26" s="13"/>
      <c r="U26" s="13"/>
    </row>
    <row r="27" spans="16:21" x14ac:dyDescent="0.3">
      <c r="P27" s="13"/>
      <c r="Q27" s="32">
        <f>COUNTBLANK(Q9:Q19)</f>
        <v>4</v>
      </c>
      <c r="R27" s="14"/>
      <c r="S27" s="13"/>
      <c r="T27" s="13"/>
      <c r="U27" s="13"/>
    </row>
    <row r="28" spans="16:21" x14ac:dyDescent="0.3">
      <c r="P28" s="13"/>
      <c r="Q28" s="13"/>
      <c r="R28" s="13"/>
      <c r="S28" s="13"/>
      <c r="T28" s="13"/>
      <c r="U28" s="13"/>
    </row>
    <row r="29" spans="16:21" x14ac:dyDescent="0.3">
      <c r="P29" s="14">
        <v>3</v>
      </c>
      <c r="Q29" s="14" t="s">
        <v>88</v>
      </c>
      <c r="R29" s="13"/>
      <c r="S29" s="13"/>
      <c r="T29" s="13"/>
      <c r="U29" s="13"/>
    </row>
    <row r="30" spans="16:21" x14ac:dyDescent="0.3">
      <c r="P30" s="13"/>
      <c r="Q30" s="32">
        <f>COUNTIF(Q9:Q19,"")</f>
        <v>4</v>
      </c>
      <c r="R30" s="14"/>
      <c r="S30" s="13"/>
      <c r="T30" s="13"/>
      <c r="U30" s="13"/>
    </row>
    <row r="31" spans="16:21" x14ac:dyDescent="0.3">
      <c r="P31" s="13"/>
      <c r="Q31" s="13"/>
      <c r="R31" s="13"/>
      <c r="S31" s="13"/>
      <c r="T31" s="13"/>
      <c r="U31" s="13"/>
    </row>
    <row r="32" spans="16:21" x14ac:dyDescent="0.3">
      <c r="P32" s="14">
        <v>4</v>
      </c>
      <c r="Q32" s="14" t="s">
        <v>89</v>
      </c>
      <c r="R32" s="13"/>
      <c r="S32" s="13"/>
      <c r="T32" s="13"/>
      <c r="U32" s="13"/>
    </row>
    <row r="33" spans="17:21" x14ac:dyDescent="0.3">
      <c r="Q33" s="32">
        <f>COUNTA(Q9:Q19)+COUNTBLANK(Q9:Q19)</f>
        <v>11</v>
      </c>
      <c r="R33" s="14"/>
      <c r="S33" s="13"/>
      <c r="T33" s="13"/>
      <c r="U33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F55C-D554-4ED8-8C69-DA5577703988}">
  <sheetPr codeName="Sheet6"/>
  <dimension ref="D7:R132"/>
  <sheetViews>
    <sheetView topLeftCell="A21" workbookViewId="0">
      <selection activeCell="E40" sqref="E40"/>
    </sheetView>
  </sheetViews>
  <sheetFormatPr defaultRowHeight="14.4" x14ac:dyDescent="0.3"/>
  <cols>
    <col min="5" max="5" width="23.44140625" customWidth="1"/>
  </cols>
  <sheetData>
    <row r="7" spans="4:18" x14ac:dyDescent="0.3">
      <c r="D7" s="20"/>
      <c r="E7" s="33" t="s">
        <v>90</v>
      </c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4:18" x14ac:dyDescent="0.3">
      <c r="D8" s="20"/>
      <c r="E8" s="34" t="s">
        <v>91</v>
      </c>
      <c r="F8" s="34">
        <v>101</v>
      </c>
      <c r="G8" s="34">
        <v>102</v>
      </c>
      <c r="H8" s="34">
        <v>103</v>
      </c>
      <c r="I8" s="34">
        <v>104</v>
      </c>
      <c r="J8" s="34">
        <v>105</v>
      </c>
      <c r="K8" s="34">
        <v>106</v>
      </c>
      <c r="L8" s="34">
        <v>107</v>
      </c>
      <c r="M8" s="34">
        <v>108</v>
      </c>
      <c r="N8" s="34">
        <v>109</v>
      </c>
      <c r="O8" s="34">
        <v>110</v>
      </c>
      <c r="P8" s="9"/>
      <c r="Q8" s="9"/>
      <c r="R8" s="9"/>
    </row>
    <row r="9" spans="4:18" x14ac:dyDescent="0.3">
      <c r="D9" s="20"/>
      <c r="E9" s="34" t="s">
        <v>92</v>
      </c>
      <c r="F9" s="35" t="s">
        <v>93</v>
      </c>
      <c r="G9" s="35" t="s">
        <v>94</v>
      </c>
      <c r="H9" s="35" t="s">
        <v>95</v>
      </c>
      <c r="I9" s="35" t="s">
        <v>96</v>
      </c>
      <c r="J9" s="35" t="s">
        <v>97</v>
      </c>
      <c r="K9" s="35" t="s">
        <v>98</v>
      </c>
      <c r="L9" s="35" t="s">
        <v>99</v>
      </c>
      <c r="M9" s="35" t="s">
        <v>100</v>
      </c>
      <c r="N9" s="35" t="s">
        <v>101</v>
      </c>
      <c r="O9" s="35" t="s">
        <v>102</v>
      </c>
      <c r="P9" s="9"/>
      <c r="Q9" s="9"/>
      <c r="R9" s="9"/>
    </row>
    <row r="10" spans="4:18" x14ac:dyDescent="0.3">
      <c r="D10" s="20"/>
      <c r="E10" s="34" t="s">
        <v>103</v>
      </c>
      <c r="F10" s="35" t="s">
        <v>104</v>
      </c>
      <c r="G10" s="35" t="s">
        <v>105</v>
      </c>
      <c r="H10" s="35" t="s">
        <v>106</v>
      </c>
      <c r="I10" s="35" t="s">
        <v>107</v>
      </c>
      <c r="J10" s="35" t="s">
        <v>104</v>
      </c>
      <c r="K10" s="35" t="s">
        <v>105</v>
      </c>
      <c r="L10" s="35" t="s">
        <v>106</v>
      </c>
      <c r="M10" s="35" t="s">
        <v>107</v>
      </c>
      <c r="N10" s="35" t="s">
        <v>104</v>
      </c>
      <c r="O10" s="35" t="s">
        <v>105</v>
      </c>
      <c r="P10" s="9"/>
      <c r="Q10" s="9"/>
      <c r="R10" s="9"/>
    </row>
    <row r="11" spans="4:18" x14ac:dyDescent="0.3">
      <c r="D11" s="20"/>
      <c r="E11" s="34" t="s">
        <v>108</v>
      </c>
      <c r="F11" s="35">
        <v>50000</v>
      </c>
      <c r="G11" s="35">
        <v>55000</v>
      </c>
      <c r="H11" s="35">
        <v>60000</v>
      </c>
      <c r="I11" s="35">
        <v>65000</v>
      </c>
      <c r="J11" s="35">
        <v>70000</v>
      </c>
      <c r="K11" s="35">
        <v>75000</v>
      </c>
      <c r="L11" s="35">
        <v>80000</v>
      </c>
      <c r="M11" s="35">
        <v>85000</v>
      </c>
      <c r="N11" s="35">
        <v>90000</v>
      </c>
      <c r="O11" s="35">
        <v>95000</v>
      </c>
      <c r="P11" s="9"/>
      <c r="Q11" s="9"/>
      <c r="R11" s="9"/>
    </row>
    <row r="12" spans="4:18" x14ac:dyDescent="0.3">
      <c r="D12" s="20"/>
      <c r="E12" s="34" t="s">
        <v>109</v>
      </c>
      <c r="F12" s="35">
        <v>2000</v>
      </c>
      <c r="G12" s="35">
        <v>2500</v>
      </c>
      <c r="H12" s="35">
        <v>3000</v>
      </c>
      <c r="I12" s="35">
        <v>3500</v>
      </c>
      <c r="J12" s="35">
        <v>4000</v>
      </c>
      <c r="K12" s="35">
        <v>4500</v>
      </c>
      <c r="L12" s="35">
        <v>5000</v>
      </c>
      <c r="M12" s="35">
        <v>5500</v>
      </c>
      <c r="N12" s="35">
        <v>6000</v>
      </c>
      <c r="O12" s="35">
        <v>6500</v>
      </c>
      <c r="P12" s="9"/>
      <c r="Q12" s="9"/>
      <c r="R12" s="9"/>
    </row>
    <row r="13" spans="4:18" x14ac:dyDescent="0.3">
      <c r="D13" s="20"/>
      <c r="E13" s="34" t="s">
        <v>110</v>
      </c>
      <c r="F13" s="35">
        <v>52000</v>
      </c>
      <c r="G13" s="35">
        <v>57500</v>
      </c>
      <c r="H13" s="35">
        <v>63000</v>
      </c>
      <c r="I13" s="35">
        <v>685000</v>
      </c>
      <c r="J13" s="35">
        <v>74000</v>
      </c>
      <c r="K13" s="35">
        <v>79500</v>
      </c>
      <c r="L13" s="35">
        <v>85000</v>
      </c>
      <c r="M13" s="35">
        <v>90500</v>
      </c>
      <c r="N13" s="35">
        <v>96000</v>
      </c>
      <c r="O13" s="35">
        <v>101500</v>
      </c>
      <c r="P13" s="9"/>
      <c r="Q13" s="9"/>
      <c r="R13" s="9"/>
    </row>
    <row r="14" spans="4:18" x14ac:dyDescent="0.3"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9"/>
      <c r="Q14" s="9"/>
      <c r="R14" s="9"/>
    </row>
    <row r="15" spans="4:18" x14ac:dyDescent="0.3">
      <c r="D15" s="26">
        <v>1</v>
      </c>
      <c r="E15" s="33" t="s">
        <v>111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9"/>
      <c r="Q15" s="9"/>
      <c r="R15" s="9"/>
    </row>
    <row r="16" spans="4:18" x14ac:dyDescent="0.3">
      <c r="D16" s="26"/>
      <c r="E16" s="20"/>
      <c r="F16" s="33"/>
      <c r="G16" s="33"/>
      <c r="H16" s="20"/>
      <c r="I16" s="20"/>
      <c r="J16" s="20"/>
      <c r="K16" s="20"/>
      <c r="L16" s="20"/>
      <c r="M16" s="20"/>
      <c r="N16" s="20"/>
      <c r="O16" s="20"/>
      <c r="P16" s="9"/>
      <c r="Q16" s="9"/>
      <c r="R16" s="9"/>
    </row>
    <row r="17" spans="4:18" x14ac:dyDescent="0.3">
      <c r="D17" s="26"/>
      <c r="E17" s="20" t="s">
        <v>112</v>
      </c>
      <c r="F17" s="36" t="str">
        <f>HLOOKUP(G8,E8:O13,3,0)</f>
        <v>Marketing</v>
      </c>
      <c r="G17" s="20"/>
      <c r="H17" s="20"/>
      <c r="I17" s="20"/>
      <c r="J17" s="20"/>
      <c r="K17" s="20"/>
      <c r="L17" s="20"/>
      <c r="M17" s="20"/>
      <c r="N17" s="20"/>
      <c r="O17" s="20"/>
      <c r="P17" s="9"/>
      <c r="Q17" s="9"/>
      <c r="R17" s="9"/>
    </row>
    <row r="18" spans="4:18" x14ac:dyDescent="0.3">
      <c r="D18" s="26"/>
      <c r="E18" s="33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9"/>
      <c r="Q18" s="9"/>
      <c r="R18" s="9"/>
    </row>
    <row r="19" spans="4:18" x14ac:dyDescent="0.3">
      <c r="D19" s="26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9"/>
      <c r="Q19" s="9"/>
      <c r="R19" s="9"/>
    </row>
    <row r="20" spans="4:18" x14ac:dyDescent="0.3">
      <c r="D20" s="26"/>
      <c r="E20" s="37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9"/>
      <c r="Q20" s="9"/>
      <c r="R20" s="9"/>
    </row>
    <row r="21" spans="4:18" x14ac:dyDescent="0.3">
      <c r="D21" s="26"/>
      <c r="E21" s="37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9"/>
      <c r="Q21" s="9"/>
      <c r="R21" s="9"/>
    </row>
    <row r="22" spans="4:18" x14ac:dyDescent="0.3">
      <c r="D22" s="26"/>
      <c r="E22" s="37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9"/>
      <c r="Q22" s="9"/>
      <c r="R22" s="9"/>
    </row>
    <row r="23" spans="4:18" x14ac:dyDescent="0.3">
      <c r="D23" s="26"/>
      <c r="E23" s="37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9"/>
      <c r="Q23" s="9"/>
      <c r="R23" s="9"/>
    </row>
    <row r="24" spans="4:18" x14ac:dyDescent="0.3">
      <c r="D24" s="26"/>
      <c r="E24" s="37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9"/>
      <c r="Q24" s="9"/>
      <c r="R24" s="9"/>
    </row>
    <row r="25" spans="4:18" x14ac:dyDescent="0.3">
      <c r="D25" s="26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9"/>
      <c r="Q25" s="9"/>
      <c r="R25" s="9"/>
    </row>
    <row r="26" spans="4:18" x14ac:dyDescent="0.3">
      <c r="D26" s="26">
        <v>2</v>
      </c>
      <c r="E26" s="33" t="s">
        <v>113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9"/>
      <c r="Q26" s="9"/>
      <c r="R26" s="9"/>
    </row>
    <row r="27" spans="4:18" x14ac:dyDescent="0.3">
      <c r="D27" s="26"/>
      <c r="E27" s="20"/>
      <c r="F27" s="33"/>
      <c r="G27" s="33"/>
      <c r="H27" s="20"/>
      <c r="I27" s="20"/>
      <c r="J27" s="20"/>
      <c r="K27" s="20"/>
      <c r="L27" s="20"/>
      <c r="M27" s="20"/>
      <c r="N27" s="20"/>
      <c r="O27" s="20"/>
      <c r="P27" s="9"/>
      <c r="Q27" s="9"/>
      <c r="R27" s="9"/>
    </row>
    <row r="28" spans="4:18" x14ac:dyDescent="0.3">
      <c r="D28" s="26"/>
      <c r="E28" s="20" t="s">
        <v>112</v>
      </c>
      <c r="F28" s="36">
        <f>HLOOKUP(J8,E8:O13,4,0)</f>
        <v>70000</v>
      </c>
      <c r="G28" s="20"/>
      <c r="H28" s="20"/>
      <c r="I28" s="20"/>
      <c r="J28" s="20"/>
      <c r="K28" s="20"/>
      <c r="L28" s="20"/>
      <c r="M28" s="20"/>
      <c r="N28" s="20"/>
      <c r="O28" s="20"/>
      <c r="P28" s="9"/>
      <c r="Q28" s="9"/>
      <c r="R28" s="9"/>
    </row>
    <row r="29" spans="4:18" x14ac:dyDescent="0.3">
      <c r="D29" s="26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9"/>
      <c r="Q29" s="9"/>
      <c r="R29" s="9"/>
    </row>
    <row r="30" spans="4:18" x14ac:dyDescent="0.3">
      <c r="D30" s="26"/>
      <c r="E30" s="33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9"/>
      <c r="Q30" s="9"/>
      <c r="R30" s="9"/>
    </row>
    <row r="31" spans="4:18" x14ac:dyDescent="0.3">
      <c r="D31" s="26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9"/>
      <c r="Q31" s="9"/>
      <c r="R31" s="9"/>
    </row>
    <row r="32" spans="4:18" x14ac:dyDescent="0.3">
      <c r="D32" s="26"/>
      <c r="E32" s="37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9"/>
      <c r="Q32" s="9"/>
      <c r="R32" s="9"/>
    </row>
    <row r="33" spans="4:18" x14ac:dyDescent="0.3">
      <c r="D33" s="26"/>
      <c r="E33" s="37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9"/>
      <c r="Q33" s="9"/>
      <c r="R33" s="9"/>
    </row>
    <row r="34" spans="4:18" x14ac:dyDescent="0.3">
      <c r="D34" s="26"/>
      <c r="E34" s="37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9"/>
      <c r="Q34" s="9"/>
      <c r="R34" s="9"/>
    </row>
    <row r="35" spans="4:18" x14ac:dyDescent="0.3">
      <c r="D35" s="26"/>
      <c r="E35" s="37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9"/>
      <c r="Q35" s="9"/>
      <c r="R35" s="9"/>
    </row>
    <row r="36" spans="4:18" x14ac:dyDescent="0.3">
      <c r="D36" s="26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9"/>
      <c r="Q36" s="9"/>
      <c r="R36" s="9"/>
    </row>
    <row r="37" spans="4:18" x14ac:dyDescent="0.3">
      <c r="D37" s="26">
        <v>3</v>
      </c>
      <c r="E37" s="33" t="s">
        <v>114</v>
      </c>
      <c r="F37" s="33"/>
      <c r="G37" s="33"/>
      <c r="H37" s="20"/>
      <c r="I37" s="20"/>
      <c r="J37" s="20"/>
      <c r="K37" s="20"/>
      <c r="L37" s="20"/>
      <c r="M37" s="20"/>
      <c r="N37" s="20"/>
      <c r="O37" s="20"/>
      <c r="P37" s="9"/>
      <c r="Q37" s="9"/>
      <c r="R37" s="9"/>
    </row>
    <row r="38" spans="4:18" x14ac:dyDescent="0.3">
      <c r="D38" s="26"/>
      <c r="E38" s="26" t="s">
        <v>112</v>
      </c>
      <c r="F38" s="36">
        <f>HLOOKUP(L8,E8:O13,6,0)</f>
        <v>85000</v>
      </c>
      <c r="G38" s="20"/>
      <c r="H38" s="20"/>
      <c r="I38" s="20"/>
      <c r="J38" s="20"/>
      <c r="K38" s="20"/>
      <c r="L38" s="20"/>
      <c r="M38" s="20"/>
      <c r="N38" s="20"/>
      <c r="O38" s="20"/>
      <c r="P38" s="9"/>
      <c r="Q38" s="9"/>
      <c r="R38" s="9"/>
    </row>
    <row r="39" spans="4:18" x14ac:dyDescent="0.3">
      <c r="D39" s="26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9"/>
      <c r="Q39" s="9"/>
      <c r="R39" s="9"/>
    </row>
    <row r="40" spans="4:18" x14ac:dyDescent="0.3">
      <c r="D40" s="26"/>
      <c r="E40" s="33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9"/>
      <c r="Q40" s="9"/>
      <c r="R40" s="9"/>
    </row>
    <row r="41" spans="4:18" x14ac:dyDescent="0.3">
      <c r="D41" s="26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9"/>
      <c r="Q41" s="9"/>
      <c r="R41" s="9"/>
    </row>
    <row r="42" spans="4:18" x14ac:dyDescent="0.3">
      <c r="D42" s="26"/>
      <c r="E42" s="37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9"/>
      <c r="Q42" s="9"/>
      <c r="R42" s="9"/>
    </row>
    <row r="43" spans="4:18" x14ac:dyDescent="0.3">
      <c r="D43" s="26"/>
      <c r="E43" s="37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9"/>
      <c r="Q43" s="9"/>
      <c r="R43" s="9"/>
    </row>
    <row r="44" spans="4:18" x14ac:dyDescent="0.3">
      <c r="D44" s="26"/>
      <c r="E44" s="37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9"/>
      <c r="Q44" s="9"/>
      <c r="R44" s="9"/>
    </row>
    <row r="45" spans="4:18" x14ac:dyDescent="0.3">
      <c r="D45" s="26"/>
      <c r="E45" s="37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9"/>
      <c r="Q45" s="9"/>
      <c r="R45" s="9"/>
    </row>
    <row r="46" spans="4:18" x14ac:dyDescent="0.3">
      <c r="D46" s="26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9"/>
      <c r="Q46" s="9"/>
      <c r="R46" s="9"/>
    </row>
    <row r="47" spans="4:18" x14ac:dyDescent="0.3"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4:18" x14ac:dyDescent="0.3"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4:18" x14ac:dyDescent="0.3"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4:18" x14ac:dyDescent="0.3"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4:18" x14ac:dyDescent="0.3"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4:18" x14ac:dyDescent="0.3"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4:18" x14ac:dyDescent="0.3"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4:18" x14ac:dyDescent="0.3"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4:18" x14ac:dyDescent="0.3"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4:18" x14ac:dyDescent="0.3"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4:18" x14ac:dyDescent="0.3"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4:18" x14ac:dyDescent="0.3"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4:18" x14ac:dyDescent="0.3"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4:18" x14ac:dyDescent="0.3"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4:18" x14ac:dyDescent="0.3"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4:18" x14ac:dyDescent="0.3"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4:18" x14ac:dyDescent="0.3"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4:18" x14ac:dyDescent="0.3"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4:18" x14ac:dyDescent="0.3"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4:18" x14ac:dyDescent="0.3"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4:18" x14ac:dyDescent="0.3"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4:18" x14ac:dyDescent="0.3"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4:18" x14ac:dyDescent="0.3"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4:18" x14ac:dyDescent="0.3"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4:18" x14ac:dyDescent="0.3"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4:18" x14ac:dyDescent="0.3"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4:18" x14ac:dyDescent="0.3"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4:18" x14ac:dyDescent="0.3"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4:18" x14ac:dyDescent="0.3"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4:18" x14ac:dyDescent="0.3"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4:18" x14ac:dyDescent="0.3"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4:18" x14ac:dyDescent="0.3"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4:18" x14ac:dyDescent="0.3"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4:18" x14ac:dyDescent="0.3"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4:18" x14ac:dyDescent="0.3"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4:18" x14ac:dyDescent="0.3"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4:18" x14ac:dyDescent="0.3"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4:18" x14ac:dyDescent="0.3"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4:18" x14ac:dyDescent="0.3"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4:18" x14ac:dyDescent="0.3"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4:18" x14ac:dyDescent="0.3"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4:18" x14ac:dyDescent="0.3"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4:18" x14ac:dyDescent="0.3"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4:18" x14ac:dyDescent="0.3"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4:18" x14ac:dyDescent="0.3"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4:18" x14ac:dyDescent="0.3"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4:18" x14ac:dyDescent="0.3"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4:18" x14ac:dyDescent="0.3"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4:18" x14ac:dyDescent="0.3"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4:18" x14ac:dyDescent="0.3"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4:18" x14ac:dyDescent="0.3"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4:18" x14ac:dyDescent="0.3"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4:18" x14ac:dyDescent="0.3"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4:18" x14ac:dyDescent="0.3"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4:18" x14ac:dyDescent="0.3"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4:18" x14ac:dyDescent="0.3"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4:18" x14ac:dyDescent="0.3"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4:18" x14ac:dyDescent="0.3"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4:18" x14ac:dyDescent="0.3"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4:18" x14ac:dyDescent="0.3"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4:18" x14ac:dyDescent="0.3"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4:18" x14ac:dyDescent="0.3"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4:18" x14ac:dyDescent="0.3"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4:18" x14ac:dyDescent="0.3"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4:18" x14ac:dyDescent="0.3"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4:18" x14ac:dyDescent="0.3"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4:18" x14ac:dyDescent="0.3"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4:18" x14ac:dyDescent="0.3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4:18" x14ac:dyDescent="0.3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4:18" x14ac:dyDescent="0.3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4:18" x14ac:dyDescent="0.3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4:18" x14ac:dyDescent="0.3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4:18" x14ac:dyDescent="0.3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4:18" x14ac:dyDescent="0.3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4:18" x14ac:dyDescent="0.3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4:18" x14ac:dyDescent="0.3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4:18" x14ac:dyDescent="0.3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4:18" x14ac:dyDescent="0.3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4:18" x14ac:dyDescent="0.3"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4:18" x14ac:dyDescent="0.3"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4:18" x14ac:dyDescent="0.3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4:18" x14ac:dyDescent="0.3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4:18" x14ac:dyDescent="0.3"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4:18" x14ac:dyDescent="0.3"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4:18" x14ac:dyDescent="0.3"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4:18" x14ac:dyDescent="0.3"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A1EB-C9ED-44E8-97CB-294C0C1F8A83}">
  <sheetPr codeName="Sheet7"/>
  <dimension ref="B9:F19"/>
  <sheetViews>
    <sheetView workbookViewId="0">
      <selection activeCell="D15" sqref="D15"/>
    </sheetView>
  </sheetViews>
  <sheetFormatPr defaultRowHeight="14.4" x14ac:dyDescent="0.3"/>
  <cols>
    <col min="2" max="2" width="48.21875" customWidth="1"/>
    <col min="3" max="3" width="10.77734375" customWidth="1"/>
    <col min="4" max="4" width="11.109375" customWidth="1"/>
  </cols>
  <sheetData>
    <row r="9" spans="2:6" x14ac:dyDescent="0.3">
      <c r="B9" s="38" t="s">
        <v>115</v>
      </c>
      <c r="C9" s="39"/>
      <c r="D9" s="39"/>
      <c r="E9" s="39"/>
      <c r="F9" s="39"/>
    </row>
    <row r="10" spans="2:6" x14ac:dyDescent="0.3">
      <c r="B10" s="1" t="s">
        <v>116</v>
      </c>
      <c r="C10" s="39"/>
      <c r="D10" s="39"/>
      <c r="E10" s="39"/>
      <c r="F10" s="39"/>
    </row>
    <row r="11" spans="2:6" x14ac:dyDescent="0.3">
      <c r="B11" s="1" t="s">
        <v>117</v>
      </c>
      <c r="C11" s="39"/>
      <c r="D11" s="39"/>
      <c r="E11" s="39"/>
      <c r="F11" s="39"/>
    </row>
    <row r="12" spans="2:6" x14ac:dyDescent="0.3">
      <c r="B12" s="1" t="s">
        <v>118</v>
      </c>
      <c r="C12" s="39"/>
      <c r="D12" s="39"/>
      <c r="E12" s="39"/>
      <c r="F12" s="39"/>
    </row>
    <row r="13" spans="2:6" x14ac:dyDescent="0.3">
      <c r="B13" s="39"/>
      <c r="C13" s="39"/>
      <c r="D13" s="39"/>
      <c r="E13" s="39"/>
      <c r="F13" s="39"/>
    </row>
    <row r="14" spans="2:6" x14ac:dyDescent="0.3">
      <c r="B14" s="40" t="s">
        <v>1</v>
      </c>
      <c r="C14" s="40" t="s">
        <v>119</v>
      </c>
      <c r="D14" s="40" t="s">
        <v>120</v>
      </c>
      <c r="E14" s="39"/>
      <c r="F14" s="39"/>
    </row>
    <row r="15" spans="2:6" x14ac:dyDescent="0.3">
      <c r="B15" s="41" t="s">
        <v>121</v>
      </c>
      <c r="C15" s="41">
        <v>98</v>
      </c>
      <c r="D15" s="42" t="str">
        <f>IF(C15&gt;=60,"pass","fail")</f>
        <v>pass</v>
      </c>
      <c r="E15" s="1"/>
      <c r="F15" s="39"/>
    </row>
    <row r="16" spans="2:6" x14ac:dyDescent="0.3">
      <c r="B16" s="41" t="s">
        <v>122</v>
      </c>
      <c r="C16" s="41">
        <v>55</v>
      </c>
      <c r="D16" s="42" t="str">
        <f t="shared" ref="D16:D18" si="0">IF(C16&gt;=60,"pass","fail")</f>
        <v>fail</v>
      </c>
      <c r="E16" s="1"/>
      <c r="F16" s="39"/>
    </row>
    <row r="17" spans="2:6" x14ac:dyDescent="0.3">
      <c r="B17" s="41" t="s">
        <v>123</v>
      </c>
      <c r="C17" s="41">
        <v>15</v>
      </c>
      <c r="D17" s="42" t="str">
        <f t="shared" si="0"/>
        <v>fail</v>
      </c>
      <c r="E17" s="1"/>
      <c r="F17" s="39"/>
    </row>
    <row r="18" spans="2:6" x14ac:dyDescent="0.3">
      <c r="B18" s="41" t="s">
        <v>124</v>
      </c>
      <c r="C18" s="41">
        <v>60</v>
      </c>
      <c r="D18" s="42" t="str">
        <f t="shared" si="0"/>
        <v>pass</v>
      </c>
      <c r="E18" s="1"/>
      <c r="F18" s="39"/>
    </row>
    <row r="19" spans="2:6" x14ac:dyDescent="0.3">
      <c r="B19" s="39"/>
      <c r="C19" s="39"/>
      <c r="D19" s="39"/>
      <c r="E19" s="39"/>
      <c r="F1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E715-65CE-43A8-B8E0-00AB819E7104}">
  <sheetPr codeName="Sheet8"/>
  <dimension ref="A8:E17"/>
  <sheetViews>
    <sheetView workbookViewId="0">
      <selection activeCell="I24" activeCellId="1" sqref="A8:G19 I24"/>
    </sheetView>
  </sheetViews>
  <sheetFormatPr defaultRowHeight="14.4" x14ac:dyDescent="0.3"/>
  <sheetData>
    <row r="8" spans="1:5" x14ac:dyDescent="0.3">
      <c r="A8" s="38" t="s">
        <v>125</v>
      </c>
    </row>
    <row r="9" spans="1:5" x14ac:dyDescent="0.3">
      <c r="A9" s="43" t="s">
        <v>126</v>
      </c>
    </row>
    <row r="10" spans="1:5" x14ac:dyDescent="0.3">
      <c r="A10" s="38" t="s">
        <v>127</v>
      </c>
    </row>
    <row r="11" spans="1:5" x14ac:dyDescent="0.3">
      <c r="A11" s="44"/>
    </row>
    <row r="12" spans="1:5" x14ac:dyDescent="0.3">
      <c r="B12" s="1" t="s">
        <v>4</v>
      </c>
      <c r="C12" s="1" t="s">
        <v>5</v>
      </c>
    </row>
    <row r="13" spans="1:5" x14ac:dyDescent="0.3">
      <c r="A13" s="41"/>
      <c r="B13" s="41" t="s">
        <v>128</v>
      </c>
      <c r="C13" s="41" t="s">
        <v>129</v>
      </c>
      <c r="D13" s="40" t="s">
        <v>130</v>
      </c>
    </row>
    <row r="14" spans="1:5" x14ac:dyDescent="0.3">
      <c r="A14" s="41" t="s">
        <v>131</v>
      </c>
      <c r="B14" s="45">
        <v>94</v>
      </c>
      <c r="C14" s="45">
        <v>94</v>
      </c>
      <c r="D14" s="42" t="str">
        <f>IF(B14=C14,"MATCH","NOMATCH")</f>
        <v>MATCH</v>
      </c>
      <c r="E14" s="1"/>
    </row>
    <row r="15" spans="1:5" x14ac:dyDescent="0.3">
      <c r="A15" s="41" t="s">
        <v>132</v>
      </c>
      <c r="B15" s="45">
        <v>109</v>
      </c>
      <c r="C15" s="45">
        <v>109</v>
      </c>
      <c r="D15" s="42" t="str">
        <f t="shared" ref="D15:D17" si="0">IF(B15=C15,"MATCH","NOMATCH")</f>
        <v>MATCH</v>
      </c>
      <c r="E15" s="1"/>
    </row>
    <row r="16" spans="1:5" x14ac:dyDescent="0.3">
      <c r="A16" s="41" t="s">
        <v>133</v>
      </c>
      <c r="B16" s="45">
        <v>85</v>
      </c>
      <c r="C16" s="45">
        <v>85.5</v>
      </c>
      <c r="D16" s="42" t="str">
        <f t="shared" si="0"/>
        <v>NOMATCH</v>
      </c>
      <c r="E16" s="1"/>
    </row>
    <row r="17" spans="1:5" x14ac:dyDescent="0.3">
      <c r="A17" s="41" t="s">
        <v>134</v>
      </c>
      <c r="B17" s="45">
        <v>12</v>
      </c>
      <c r="C17" s="45">
        <v>12</v>
      </c>
      <c r="D17" s="42" t="str">
        <f t="shared" si="0"/>
        <v>MATCH</v>
      </c>
      <c r="E1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E788-75AD-4461-AF10-9389A0D96EE8}">
  <sheetPr codeName="Sheet9"/>
  <dimension ref="A12:H27"/>
  <sheetViews>
    <sheetView topLeftCell="A4" workbookViewId="0">
      <selection activeCell="V23" sqref="V23"/>
    </sheetView>
  </sheetViews>
  <sheetFormatPr defaultRowHeight="14.4" x14ac:dyDescent="0.3"/>
  <sheetData>
    <row r="12" spans="1:2" x14ac:dyDescent="0.3">
      <c r="B12" s="1" t="s">
        <v>135</v>
      </c>
    </row>
    <row r="13" spans="1:2" x14ac:dyDescent="0.3">
      <c r="A13" s="46">
        <v>1</v>
      </c>
      <c r="B13" s="47" t="s">
        <v>136</v>
      </c>
    </row>
    <row r="14" spans="1:2" x14ac:dyDescent="0.3">
      <c r="A14" s="46"/>
      <c r="B14" s="48"/>
    </row>
    <row r="15" spans="1:2" x14ac:dyDescent="0.3">
      <c r="A15" s="46">
        <v>2</v>
      </c>
      <c r="B15" s="47" t="s">
        <v>137</v>
      </c>
    </row>
    <row r="16" spans="1:2" x14ac:dyDescent="0.3">
      <c r="A16" s="46"/>
      <c r="B16" s="1"/>
    </row>
    <row r="17" spans="1:8" x14ac:dyDescent="0.3">
      <c r="A17" s="46"/>
      <c r="B17" s="1"/>
    </row>
    <row r="18" spans="1:8" x14ac:dyDescent="0.3">
      <c r="E18" s="41" t="s">
        <v>138</v>
      </c>
      <c r="F18" s="41" t="s">
        <v>139</v>
      </c>
    </row>
    <row r="19" spans="1:8" x14ac:dyDescent="0.3">
      <c r="B19" s="49" t="s">
        <v>140</v>
      </c>
      <c r="C19" s="49" t="s">
        <v>1</v>
      </c>
      <c r="D19" s="50" t="s">
        <v>141</v>
      </c>
      <c r="E19" s="49" t="s">
        <v>142</v>
      </c>
      <c r="F19" s="49" t="s">
        <v>143</v>
      </c>
      <c r="H19" s="1"/>
    </row>
    <row r="20" spans="1:8" x14ac:dyDescent="0.3">
      <c r="B20" s="41">
        <v>1</v>
      </c>
      <c r="C20" s="41" t="s">
        <v>144</v>
      </c>
      <c r="D20" s="51">
        <v>16</v>
      </c>
      <c r="E20" s="42" t="str">
        <f>IF(D20&gt;=16,"ELIGIBLE","NOTELIGIBLE")</f>
        <v>ELIGIBLE</v>
      </c>
      <c r="F20" s="42" t="str">
        <f>IF(D20&lt;=18,"MINOR","ADULT")</f>
        <v>MINOR</v>
      </c>
      <c r="H20" s="1"/>
    </row>
    <row r="21" spans="1:8" x14ac:dyDescent="0.3">
      <c r="B21" s="41">
        <v>2</v>
      </c>
      <c r="C21" s="41" t="s">
        <v>145</v>
      </c>
      <c r="D21" s="51">
        <v>18</v>
      </c>
      <c r="E21" s="42" t="str">
        <f t="shared" ref="E21:E27" si="0">IF(D21&gt;=16,"ELIGIBLE","NOTELIGIBLE")</f>
        <v>ELIGIBLE</v>
      </c>
      <c r="F21" s="42" t="str">
        <f t="shared" ref="F21:F27" si="1">IF(D21&lt;=18,"MINOR","ADULT")</f>
        <v>MINOR</v>
      </c>
      <c r="H21" s="1"/>
    </row>
    <row r="22" spans="1:8" x14ac:dyDescent="0.3">
      <c r="B22" s="41">
        <v>3</v>
      </c>
      <c r="C22" s="41" t="s">
        <v>146</v>
      </c>
      <c r="D22" s="51">
        <v>15.5</v>
      </c>
      <c r="E22" s="42" t="str">
        <f t="shared" si="0"/>
        <v>NOTELIGIBLE</v>
      </c>
      <c r="F22" s="42" t="str">
        <f t="shared" si="1"/>
        <v>MINOR</v>
      </c>
      <c r="H22" s="1"/>
    </row>
    <row r="23" spans="1:8" x14ac:dyDescent="0.3">
      <c r="B23" s="41">
        <v>4</v>
      </c>
      <c r="C23" s="41" t="s">
        <v>147</v>
      </c>
      <c r="D23" s="51">
        <v>19</v>
      </c>
      <c r="E23" s="42" t="str">
        <f t="shared" si="0"/>
        <v>ELIGIBLE</v>
      </c>
      <c r="F23" s="42" t="str">
        <f t="shared" si="1"/>
        <v>ADULT</v>
      </c>
      <c r="H23" s="1"/>
    </row>
    <row r="24" spans="1:8" x14ac:dyDescent="0.3">
      <c r="B24" s="41">
        <v>5</v>
      </c>
      <c r="C24" s="41" t="s">
        <v>148</v>
      </c>
      <c r="D24" s="51">
        <v>18</v>
      </c>
      <c r="E24" s="42" t="str">
        <f t="shared" si="0"/>
        <v>ELIGIBLE</v>
      </c>
      <c r="F24" s="42" t="str">
        <f t="shared" si="1"/>
        <v>MINOR</v>
      </c>
      <c r="H24" s="1"/>
    </row>
    <row r="25" spans="1:8" x14ac:dyDescent="0.3">
      <c r="B25" s="41">
        <v>6</v>
      </c>
      <c r="C25" s="41" t="s">
        <v>149</v>
      </c>
      <c r="D25" s="51">
        <v>13</v>
      </c>
      <c r="E25" s="42" t="str">
        <f t="shared" si="0"/>
        <v>NOTELIGIBLE</v>
      </c>
      <c r="F25" s="42" t="str">
        <f t="shared" si="1"/>
        <v>MINOR</v>
      </c>
      <c r="H25" s="1"/>
    </row>
    <row r="26" spans="1:8" x14ac:dyDescent="0.3">
      <c r="B26" s="41">
        <v>7</v>
      </c>
      <c r="C26" s="41" t="s">
        <v>150</v>
      </c>
      <c r="D26" s="51">
        <v>18</v>
      </c>
      <c r="E26" s="42" t="str">
        <f t="shared" si="0"/>
        <v>ELIGIBLE</v>
      </c>
      <c r="F26" s="42" t="str">
        <f t="shared" si="1"/>
        <v>MINOR</v>
      </c>
      <c r="H26" s="1"/>
    </row>
    <row r="27" spans="1:8" x14ac:dyDescent="0.3">
      <c r="B27" s="41">
        <v>8</v>
      </c>
      <c r="C27" s="41" t="s">
        <v>151</v>
      </c>
      <c r="D27" s="51">
        <v>17</v>
      </c>
      <c r="E27" s="42" t="str">
        <f t="shared" si="0"/>
        <v>ELIGIBLE</v>
      </c>
      <c r="F27" s="42" t="str">
        <f t="shared" si="1"/>
        <v>MINOR</v>
      </c>
      <c r="H2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1C51-263D-4124-A266-A38DDB6BA73E}">
  <sheetPr codeName="Sheet10"/>
  <dimension ref="A8:E27"/>
  <sheetViews>
    <sheetView workbookViewId="0">
      <selection activeCell="D18" sqref="D18"/>
    </sheetView>
  </sheetViews>
  <sheetFormatPr defaultRowHeight="14.4" x14ac:dyDescent="0.3"/>
  <cols>
    <col min="1" max="1" width="14.6640625" customWidth="1"/>
    <col min="2" max="2" width="11.6640625" customWidth="1"/>
    <col min="3" max="3" width="12.109375" customWidth="1"/>
    <col min="4" max="4" width="12.21875" customWidth="1"/>
  </cols>
  <sheetData>
    <row r="8" spans="1:5" x14ac:dyDescent="0.3">
      <c r="A8" s="39" t="s">
        <v>152</v>
      </c>
      <c r="B8" s="39"/>
      <c r="C8" s="39"/>
      <c r="D8" s="39"/>
      <c r="E8" s="39"/>
    </row>
    <row r="9" spans="1:5" x14ac:dyDescent="0.3">
      <c r="A9" s="39"/>
      <c r="B9" s="39"/>
      <c r="C9" s="39"/>
      <c r="D9" s="39"/>
      <c r="E9" s="39"/>
    </row>
    <row r="10" spans="1:5" x14ac:dyDescent="0.3">
      <c r="A10" s="39"/>
      <c r="B10" s="39" t="s">
        <v>60</v>
      </c>
      <c r="C10" s="39"/>
      <c r="D10" s="39"/>
      <c r="E10" s="39"/>
    </row>
    <row r="11" spans="1:5" x14ac:dyDescent="0.3">
      <c r="A11" s="52" t="s">
        <v>153</v>
      </c>
      <c r="B11" s="53">
        <v>1</v>
      </c>
      <c r="C11" s="39"/>
      <c r="D11" s="39"/>
      <c r="E11" s="39"/>
    </row>
    <row r="12" spans="1:5" x14ac:dyDescent="0.3">
      <c r="A12" s="52" t="s">
        <v>154</v>
      </c>
      <c r="B12" s="53">
        <v>0.5</v>
      </c>
      <c r="C12" s="39"/>
      <c r="D12" s="39"/>
      <c r="E12" s="39"/>
    </row>
    <row r="13" spans="1:5" x14ac:dyDescent="0.3">
      <c r="A13" s="39"/>
      <c r="B13" s="39"/>
      <c r="C13" s="39"/>
      <c r="D13" s="39"/>
      <c r="E13" s="39"/>
    </row>
    <row r="14" spans="1:5" x14ac:dyDescent="0.3">
      <c r="A14" s="39" t="s">
        <v>155</v>
      </c>
      <c r="B14" s="39"/>
      <c r="C14" s="39"/>
      <c r="D14" s="39"/>
      <c r="E14" s="39"/>
    </row>
    <row r="15" spans="1:5" x14ac:dyDescent="0.3">
      <c r="A15" s="39" t="s">
        <v>156</v>
      </c>
      <c r="B15" s="39"/>
      <c r="C15" s="39"/>
      <c r="D15" s="39"/>
      <c r="E15" s="39"/>
    </row>
    <row r="16" spans="1:5" x14ac:dyDescent="0.3">
      <c r="A16" s="39"/>
      <c r="B16" s="39"/>
      <c r="C16" s="39"/>
      <c r="D16" s="39"/>
      <c r="E16" s="39"/>
    </row>
    <row r="17" spans="1:5" x14ac:dyDescent="0.3">
      <c r="A17" s="54" t="s">
        <v>1</v>
      </c>
      <c r="B17" s="54" t="s">
        <v>157</v>
      </c>
      <c r="C17" s="54" t="s">
        <v>158</v>
      </c>
      <c r="D17" s="54" t="s">
        <v>159</v>
      </c>
      <c r="E17" s="39"/>
    </row>
    <row r="18" spans="1:5" x14ac:dyDescent="0.3">
      <c r="A18" s="52" t="s">
        <v>160</v>
      </c>
      <c r="B18" s="52" t="s">
        <v>153</v>
      </c>
      <c r="C18" s="55">
        <v>46866</v>
      </c>
      <c r="D18" s="56" t="str">
        <f>IF($A$11=B18,"100%","50%")</f>
        <v>100%</v>
      </c>
      <c r="E18" s="39"/>
    </row>
    <row r="19" spans="1:5" x14ac:dyDescent="0.3">
      <c r="A19" s="52" t="s">
        <v>161</v>
      </c>
      <c r="B19" s="52" t="s">
        <v>154</v>
      </c>
      <c r="C19" s="55">
        <v>33495</v>
      </c>
      <c r="D19" s="56" t="str">
        <f t="shared" ref="D19:D24" si="0">IF($A$11=B19,"100%","50%")</f>
        <v>50%</v>
      </c>
      <c r="E19" s="39"/>
    </row>
    <row r="20" spans="1:5" x14ac:dyDescent="0.3">
      <c r="A20" s="52" t="s">
        <v>162</v>
      </c>
      <c r="B20" s="52" t="s">
        <v>154</v>
      </c>
      <c r="C20" s="55">
        <v>35087</v>
      </c>
      <c r="D20" s="56" t="str">
        <f t="shared" si="0"/>
        <v>50%</v>
      </c>
      <c r="E20" s="39"/>
    </row>
    <row r="21" spans="1:5" x14ac:dyDescent="0.3">
      <c r="A21" s="52" t="s">
        <v>163</v>
      </c>
      <c r="B21" s="52" t="s">
        <v>153</v>
      </c>
      <c r="C21" s="55">
        <v>42603</v>
      </c>
      <c r="D21" s="56" t="str">
        <f t="shared" si="0"/>
        <v>100%</v>
      </c>
      <c r="E21" s="39"/>
    </row>
    <row r="22" spans="1:5" x14ac:dyDescent="0.3">
      <c r="A22" s="52" t="s">
        <v>148</v>
      </c>
      <c r="B22" s="52" t="s">
        <v>154</v>
      </c>
      <c r="C22" s="55">
        <v>36971</v>
      </c>
      <c r="D22" s="56" t="str">
        <f t="shared" si="0"/>
        <v>50%</v>
      </c>
      <c r="E22" s="39"/>
    </row>
    <row r="23" spans="1:5" x14ac:dyDescent="0.3">
      <c r="A23" s="52" t="s">
        <v>164</v>
      </c>
      <c r="B23" s="52" t="s">
        <v>153</v>
      </c>
      <c r="C23" s="55">
        <v>41286</v>
      </c>
      <c r="D23" s="56" t="str">
        <f t="shared" si="0"/>
        <v>100%</v>
      </c>
      <c r="E23" s="39"/>
    </row>
    <row r="24" spans="1:5" x14ac:dyDescent="0.3">
      <c r="A24" s="52" t="s">
        <v>165</v>
      </c>
      <c r="B24" s="52" t="s">
        <v>154</v>
      </c>
      <c r="C24" s="55">
        <v>37732</v>
      </c>
      <c r="D24" s="56" t="str">
        <f t="shared" si="0"/>
        <v>50%</v>
      </c>
      <c r="E24" s="39"/>
    </row>
    <row r="25" spans="1:5" x14ac:dyDescent="0.3">
      <c r="A25" s="39"/>
      <c r="B25" s="39"/>
      <c r="C25" s="39"/>
      <c r="D25" s="39"/>
      <c r="E25" s="39"/>
    </row>
    <row r="26" spans="1:5" x14ac:dyDescent="0.3">
      <c r="A26" s="39"/>
      <c r="B26" s="39"/>
      <c r="C26" s="39"/>
      <c r="D26" s="39"/>
      <c r="E26" s="39"/>
    </row>
    <row r="27" spans="1:5" x14ac:dyDescent="0.3">
      <c r="A27" s="39"/>
      <c r="B27" s="39"/>
      <c r="C27" s="39"/>
      <c r="D27" s="39"/>
      <c r="E27" s="3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6B50-E4A0-42D1-B8D1-E00E1F56E8E7}">
  <sheetPr codeName="Sheet11"/>
  <dimension ref="A9:G34"/>
  <sheetViews>
    <sheetView topLeftCell="A24" workbookViewId="0">
      <selection activeCell="D33" sqref="D33"/>
    </sheetView>
  </sheetViews>
  <sheetFormatPr defaultRowHeight="14.4" x14ac:dyDescent="0.3"/>
  <cols>
    <col min="1" max="1" width="12.21875" customWidth="1"/>
  </cols>
  <sheetData>
    <row r="9" spans="1:7" x14ac:dyDescent="0.3">
      <c r="A9" s="2" t="s">
        <v>166</v>
      </c>
      <c r="B9" s="1"/>
      <c r="C9" s="1"/>
      <c r="D9" s="1"/>
      <c r="E9" s="1"/>
      <c r="F9" s="1"/>
      <c r="G9" s="1"/>
    </row>
    <row r="10" spans="1:7" x14ac:dyDescent="0.3">
      <c r="A10" s="1" t="s">
        <v>167</v>
      </c>
      <c r="B10" s="1"/>
      <c r="C10" s="1"/>
      <c r="D10" s="1"/>
      <c r="E10" s="1"/>
      <c r="F10" s="1"/>
      <c r="G10" s="1"/>
    </row>
    <row r="11" spans="1:7" x14ac:dyDescent="0.3">
      <c r="A11" s="57" t="s">
        <v>168</v>
      </c>
      <c r="B11" s="1" t="s">
        <v>169</v>
      </c>
      <c r="C11" s="1"/>
      <c r="D11" s="1"/>
      <c r="E11" s="1"/>
      <c r="F11" s="1"/>
      <c r="G11" s="1"/>
    </row>
    <row r="12" spans="1:7" x14ac:dyDescent="0.3">
      <c r="A12" s="1" t="s">
        <v>170</v>
      </c>
      <c r="B12" s="1" t="s">
        <v>171</v>
      </c>
      <c r="C12" s="1"/>
      <c r="D12" s="1"/>
      <c r="E12" s="1"/>
      <c r="F12" s="1"/>
      <c r="G12" s="1"/>
    </row>
    <row r="13" spans="1:7" x14ac:dyDescent="0.3">
      <c r="A13" s="57" t="s">
        <v>172</v>
      </c>
      <c r="B13" s="1" t="s">
        <v>173</v>
      </c>
      <c r="C13" s="1"/>
      <c r="D13" s="1"/>
      <c r="E13" s="1"/>
      <c r="F13" s="1"/>
      <c r="G13" s="1"/>
    </row>
    <row r="14" spans="1:7" x14ac:dyDescent="0.3">
      <c r="A14" s="1" t="s">
        <v>174</v>
      </c>
      <c r="B14" s="1" t="s">
        <v>175</v>
      </c>
      <c r="C14" s="1"/>
      <c r="D14" s="1"/>
      <c r="E14" s="1"/>
      <c r="F14" s="1"/>
      <c r="G14" s="1"/>
    </row>
    <row r="15" spans="1:7" x14ac:dyDescent="0.3">
      <c r="A15" s="1" t="s">
        <v>176</v>
      </c>
      <c r="B15" s="1" t="s">
        <v>177</v>
      </c>
      <c r="C15" s="1"/>
      <c r="D15" s="1"/>
      <c r="E15" s="1"/>
      <c r="F15" s="1"/>
      <c r="G15" s="1"/>
    </row>
    <row r="16" spans="1:7" x14ac:dyDescent="0.3">
      <c r="A16" s="1" t="s">
        <v>178</v>
      </c>
      <c r="B16" s="1" t="s">
        <v>179</v>
      </c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44" t="s">
        <v>180</v>
      </c>
      <c r="B18" s="1"/>
      <c r="C18" s="1"/>
      <c r="D18" s="1"/>
      <c r="E18" s="1"/>
      <c r="F18" s="1"/>
      <c r="G18" s="1"/>
    </row>
    <row r="19" spans="1:7" x14ac:dyDescent="0.3">
      <c r="A19" s="1">
        <v>2</v>
      </c>
      <c r="B19" s="1" t="s">
        <v>181</v>
      </c>
      <c r="C19" s="1">
        <v>3</v>
      </c>
      <c r="D19" s="11">
        <f>SUM(A19+C19)</f>
        <v>5</v>
      </c>
      <c r="E19" s="1"/>
      <c r="F19" s="1"/>
      <c r="G19" s="1"/>
    </row>
    <row r="20" spans="1:7" x14ac:dyDescent="0.3">
      <c r="A20" s="1">
        <v>3</v>
      </c>
      <c r="B20" s="1" t="s">
        <v>182</v>
      </c>
      <c r="C20" s="1">
        <v>1</v>
      </c>
      <c r="D20" s="11">
        <f>A20-C20</f>
        <v>2</v>
      </c>
      <c r="E20" s="1"/>
      <c r="F20" s="1"/>
      <c r="G20" s="1"/>
    </row>
    <row r="21" spans="1:7" x14ac:dyDescent="0.3">
      <c r="A21" s="1">
        <v>5</v>
      </c>
      <c r="B21" s="1" t="s">
        <v>183</v>
      </c>
      <c r="C21" s="1">
        <v>10</v>
      </c>
      <c r="D21" s="11">
        <f>A21*C21</f>
        <v>50</v>
      </c>
      <c r="E21" s="1"/>
      <c r="F21" s="1"/>
      <c r="G21" s="1"/>
    </row>
    <row r="22" spans="1:7" x14ac:dyDescent="0.3">
      <c r="A22" s="1">
        <v>10</v>
      </c>
      <c r="B22" s="1" t="s">
        <v>184</v>
      </c>
      <c r="C22" s="1">
        <v>2</v>
      </c>
      <c r="D22" s="11">
        <f>A22/C22</f>
        <v>5</v>
      </c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44" t="s">
        <v>185</v>
      </c>
      <c r="B25" s="1"/>
      <c r="C25" s="1"/>
      <c r="D25" s="1"/>
      <c r="E25" s="1"/>
      <c r="F25" s="1"/>
      <c r="G25" s="1"/>
    </row>
    <row r="26" spans="1:7" x14ac:dyDescent="0.3">
      <c r="A26" s="2">
        <v>10</v>
      </c>
      <c r="B26" s="1" t="s">
        <v>186</v>
      </c>
      <c r="C26" s="1">
        <v>100</v>
      </c>
      <c r="D26" s="58">
        <f>A26/C26</f>
        <v>0.1</v>
      </c>
      <c r="E26" s="1"/>
      <c r="F26" s="1"/>
      <c r="G26" s="1"/>
    </row>
    <row r="27" spans="1:7" x14ac:dyDescent="0.3">
      <c r="A27" s="2">
        <v>3</v>
      </c>
      <c r="B27" s="1" t="s">
        <v>186</v>
      </c>
      <c r="C27" s="1">
        <v>6</v>
      </c>
      <c r="D27" s="58">
        <f>A27/C27</f>
        <v>0.5</v>
      </c>
      <c r="E27" s="1"/>
      <c r="F27" s="1"/>
      <c r="G27" s="1"/>
    </row>
    <row r="28" spans="1:7" x14ac:dyDescent="0.3">
      <c r="A28" s="2">
        <v>1.5</v>
      </c>
      <c r="B28" s="1" t="s">
        <v>186</v>
      </c>
      <c r="C28" s="1">
        <v>1</v>
      </c>
      <c r="D28" s="58">
        <f>A28/C28</f>
        <v>1.5</v>
      </c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44" t="s">
        <v>187</v>
      </c>
      <c r="B30" s="1"/>
      <c r="C30" s="1"/>
      <c r="D30" s="1"/>
      <c r="E30" s="1"/>
      <c r="F30" s="1"/>
      <c r="G30" s="1"/>
    </row>
    <row r="31" spans="1:7" x14ac:dyDescent="0.3">
      <c r="A31" s="2" t="s">
        <v>188</v>
      </c>
      <c r="B31" s="2" t="s">
        <v>189</v>
      </c>
      <c r="C31" s="2" t="s">
        <v>190</v>
      </c>
      <c r="D31" s="2" t="s">
        <v>191</v>
      </c>
      <c r="E31" s="2"/>
      <c r="F31" s="1"/>
      <c r="G31" s="1"/>
    </row>
    <row r="32" spans="1:7" x14ac:dyDescent="0.3">
      <c r="A32" s="1" t="s">
        <v>192</v>
      </c>
      <c r="B32" s="1">
        <v>100</v>
      </c>
      <c r="C32" s="1">
        <v>150</v>
      </c>
      <c r="D32" s="58">
        <f>C32%</f>
        <v>1.5</v>
      </c>
      <c r="E32" s="59"/>
      <c r="F32" s="1"/>
      <c r="G32" s="1"/>
    </row>
    <row r="33" spans="1:7" x14ac:dyDescent="0.3">
      <c r="A33" s="1" t="s">
        <v>193</v>
      </c>
      <c r="B33" s="1">
        <v>100</v>
      </c>
      <c r="C33" s="1">
        <v>50</v>
      </c>
      <c r="D33" s="58">
        <f>C33%</f>
        <v>0.5</v>
      </c>
      <c r="E33" s="59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4384-4A54-41EF-8374-0447D98E90FD}">
  <sheetPr codeName="Sheet12"/>
  <dimension ref="A8:D25"/>
  <sheetViews>
    <sheetView workbookViewId="0">
      <selection activeCell="A8" sqref="A8:D25"/>
    </sheetView>
  </sheetViews>
  <sheetFormatPr defaultRowHeight="14.4" x14ac:dyDescent="0.3"/>
  <cols>
    <col min="1" max="1" width="11.77734375" customWidth="1"/>
    <col min="2" max="2" width="11.88671875" customWidth="1"/>
    <col min="3" max="3" width="12.88671875" customWidth="1"/>
  </cols>
  <sheetData>
    <row r="8" spans="1:3" x14ac:dyDescent="0.3">
      <c r="A8" s="9"/>
      <c r="B8" s="1" t="s">
        <v>194</v>
      </c>
    </row>
    <row r="9" spans="1:3" x14ac:dyDescent="0.3">
      <c r="A9" s="60"/>
      <c r="B9" s="61" t="s">
        <v>195</v>
      </c>
      <c r="C9" s="62"/>
    </row>
    <row r="10" spans="1:3" x14ac:dyDescent="0.3">
      <c r="A10" s="63">
        <v>1</v>
      </c>
      <c r="B10" s="1" t="s">
        <v>196</v>
      </c>
    </row>
    <row r="11" spans="1:3" x14ac:dyDescent="0.3">
      <c r="A11" s="64"/>
      <c r="B11" s="40" t="s">
        <v>1</v>
      </c>
      <c r="C11" s="40" t="s">
        <v>2</v>
      </c>
    </row>
    <row r="12" spans="1:3" x14ac:dyDescent="0.3">
      <c r="A12" s="63"/>
      <c r="B12" s="41" t="s">
        <v>197</v>
      </c>
      <c r="C12" s="41">
        <v>200</v>
      </c>
    </row>
    <row r="13" spans="1:3" x14ac:dyDescent="0.3">
      <c r="A13" s="63"/>
      <c r="B13" s="41" t="s">
        <v>198</v>
      </c>
      <c r="C13" s="41">
        <v>120</v>
      </c>
    </row>
    <row r="14" spans="1:3" x14ac:dyDescent="0.3">
      <c r="A14" s="63"/>
      <c r="B14" s="41" t="s">
        <v>199</v>
      </c>
      <c r="C14" s="41">
        <v>156</v>
      </c>
    </row>
    <row r="15" spans="1:3" x14ac:dyDescent="0.3">
      <c r="A15" s="63"/>
      <c r="B15" s="41" t="s">
        <v>200</v>
      </c>
      <c r="C15" s="41">
        <v>190</v>
      </c>
    </row>
    <row r="16" spans="1:3" x14ac:dyDescent="0.3">
      <c r="A16" s="63"/>
      <c r="B16" s="41" t="s">
        <v>201</v>
      </c>
      <c r="C16" s="41">
        <v>320</v>
      </c>
    </row>
    <row r="17" spans="1:4" x14ac:dyDescent="0.3">
      <c r="A17" s="63"/>
      <c r="B17" s="41" t="s">
        <v>202</v>
      </c>
      <c r="C17" s="41">
        <v>89</v>
      </c>
    </row>
    <row r="18" spans="1:4" ht="15" thickBot="1" x14ac:dyDescent="0.35">
      <c r="A18" s="9"/>
    </row>
    <row r="19" spans="1:4" ht="15" thickBot="1" x14ac:dyDescent="0.35">
      <c r="A19" s="63">
        <v>1.1000000000000001</v>
      </c>
      <c r="B19" s="1" t="s">
        <v>203</v>
      </c>
      <c r="C19" s="6">
        <f>MAX(C12:C17)</f>
        <v>320</v>
      </c>
      <c r="D19" s="1"/>
    </row>
    <row r="20" spans="1:4" ht="15" thickBot="1" x14ac:dyDescent="0.35">
      <c r="A20" s="63">
        <v>1.2</v>
      </c>
      <c r="B20" s="1" t="s">
        <v>204</v>
      </c>
      <c r="C20" s="6">
        <f>MIN(C12:C17)</f>
        <v>89</v>
      </c>
      <c r="D20" s="1"/>
    </row>
    <row r="21" spans="1:4" ht="15" thickBot="1" x14ac:dyDescent="0.35">
      <c r="A21" s="63">
        <v>1.3</v>
      </c>
      <c r="B21" s="1" t="s">
        <v>205</v>
      </c>
      <c r="C21" s="6">
        <f>AVERAGE(C19:C20)</f>
        <v>204.5</v>
      </c>
      <c r="D21" s="1"/>
    </row>
    <row r="22" spans="1:4" x14ac:dyDescent="0.3">
      <c r="A22" s="9"/>
    </row>
    <row r="23" spans="1:4" x14ac:dyDescent="0.3">
      <c r="A23" s="9"/>
      <c r="B23" s="1"/>
    </row>
    <row r="24" spans="1:4" x14ac:dyDescent="0.3">
      <c r="A24" s="63"/>
      <c r="B24" s="1"/>
    </row>
    <row r="25" spans="1:4" x14ac:dyDescent="0.3">
      <c r="A25" s="63"/>
      <c r="B25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3AC2-A855-4759-B5D1-57F4080C94A8}">
  <sheetPr codeName="Sheet13"/>
  <dimension ref="A8:I20"/>
  <sheetViews>
    <sheetView workbookViewId="0">
      <selection activeCell="Q21" sqref="Q21"/>
    </sheetView>
  </sheetViews>
  <sheetFormatPr defaultRowHeight="14.4" x14ac:dyDescent="0.3"/>
  <sheetData>
    <row r="8" spans="1:9" x14ac:dyDescent="0.3">
      <c r="A8" s="1"/>
      <c r="B8" s="1" t="s">
        <v>206</v>
      </c>
    </row>
    <row r="10" spans="1:9" x14ac:dyDescent="0.3">
      <c r="A10" s="1"/>
      <c r="B10" s="1" t="s">
        <v>207</v>
      </c>
    </row>
    <row r="11" spans="1:9" x14ac:dyDescent="0.3">
      <c r="A11" s="1"/>
      <c r="B11" s="1" t="s">
        <v>208</v>
      </c>
    </row>
    <row r="12" spans="1:9" x14ac:dyDescent="0.3">
      <c r="A12" s="1"/>
      <c r="B12" s="1" t="s">
        <v>209</v>
      </c>
    </row>
    <row r="13" spans="1:9" x14ac:dyDescent="0.3">
      <c r="A13" s="1"/>
      <c r="B13" s="1"/>
    </row>
    <row r="14" spans="1:9" x14ac:dyDescent="0.3">
      <c r="C14" s="1" t="s">
        <v>210</v>
      </c>
      <c r="D14" s="1" t="s">
        <v>211</v>
      </c>
      <c r="E14" s="1" t="s">
        <v>212</v>
      </c>
      <c r="F14" s="1" t="s">
        <v>213</v>
      </c>
      <c r="G14" s="1" t="s">
        <v>214</v>
      </c>
    </row>
    <row r="15" spans="1:9" x14ac:dyDescent="0.3">
      <c r="A15" s="1"/>
      <c r="B15" s="1" t="s">
        <v>215</v>
      </c>
      <c r="C15" s="1">
        <v>95</v>
      </c>
      <c r="D15" s="1">
        <v>56</v>
      </c>
      <c r="E15" s="1">
        <v>14</v>
      </c>
      <c r="F15" s="1">
        <v>66</v>
      </c>
      <c r="G15" s="11" t="str">
        <f>IF(MIN(C15:F15)&lt;50,"FAIL","PASS")</f>
        <v>FAIL</v>
      </c>
      <c r="I15" s="1"/>
    </row>
    <row r="16" spans="1:9" x14ac:dyDescent="0.3">
      <c r="A16" s="1"/>
      <c r="B16" s="1" t="s">
        <v>216</v>
      </c>
      <c r="C16" s="1">
        <v>54</v>
      </c>
      <c r="D16" s="1">
        <v>89</v>
      </c>
      <c r="E16" s="1">
        <v>53</v>
      </c>
      <c r="F16" s="1">
        <v>66</v>
      </c>
      <c r="G16" s="11" t="str">
        <f t="shared" ref="G16:G18" si="0">IF(MIN(C16:F16)&lt;50,"FAIL","PASS")</f>
        <v>PASS</v>
      </c>
      <c r="I16" s="1"/>
    </row>
    <row r="17" spans="1:9" x14ac:dyDescent="0.3">
      <c r="A17" s="1"/>
      <c r="B17" s="1" t="s">
        <v>217</v>
      </c>
      <c r="C17" s="1">
        <v>100</v>
      </c>
      <c r="D17" s="1">
        <v>69</v>
      </c>
      <c r="E17" s="1">
        <v>78</v>
      </c>
      <c r="F17" s="1">
        <v>53</v>
      </c>
      <c r="G17" s="11" t="str">
        <f t="shared" si="0"/>
        <v>PASS</v>
      </c>
      <c r="I17" s="1"/>
    </row>
    <row r="18" spans="1:9" x14ac:dyDescent="0.3">
      <c r="A18" s="1"/>
      <c r="B18" s="1" t="s">
        <v>124</v>
      </c>
      <c r="C18" s="1">
        <v>49</v>
      </c>
      <c r="D18" s="1">
        <v>70</v>
      </c>
      <c r="E18" s="1">
        <v>87</v>
      </c>
      <c r="F18" s="1">
        <v>100</v>
      </c>
      <c r="G18" s="11" t="str">
        <f t="shared" si="0"/>
        <v>FAIL</v>
      </c>
      <c r="I18" s="1"/>
    </row>
    <row r="19" spans="1:9" x14ac:dyDescent="0.3">
      <c r="G19" s="11"/>
    </row>
    <row r="20" spans="1:9" x14ac:dyDescent="0.3">
      <c r="A20" s="1"/>
      <c r="B20" s="3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78D1-18D7-4E83-ACAF-985E5547FA1F}">
  <sheetPr codeName="Sheet14"/>
  <dimension ref="A5:E20"/>
  <sheetViews>
    <sheetView workbookViewId="0">
      <selection activeCell="I14" sqref="I14"/>
    </sheetView>
  </sheetViews>
  <sheetFormatPr defaultRowHeight="14.4" x14ac:dyDescent="0.3"/>
  <sheetData>
    <row r="5" spans="1:5" x14ac:dyDescent="0.3">
      <c r="A5" s="1"/>
      <c r="B5" s="1" t="s">
        <v>218</v>
      </c>
    </row>
    <row r="6" spans="1:5" x14ac:dyDescent="0.3">
      <c r="A6" s="1"/>
      <c r="B6" s="38" t="s">
        <v>219</v>
      </c>
    </row>
    <row r="8" spans="1:5" x14ac:dyDescent="0.3">
      <c r="C8" s="1" t="s">
        <v>210</v>
      </c>
    </row>
    <row r="9" spans="1:5" x14ac:dyDescent="0.3">
      <c r="A9" s="1"/>
      <c r="B9" s="1" t="s">
        <v>220</v>
      </c>
      <c r="C9" s="1">
        <v>95</v>
      </c>
    </row>
    <row r="10" spans="1:5" x14ac:dyDescent="0.3">
      <c r="A10" s="1"/>
      <c r="B10" s="1" t="s">
        <v>216</v>
      </c>
      <c r="C10" s="1">
        <v>54</v>
      </c>
    </row>
    <row r="11" spans="1:5" x14ac:dyDescent="0.3">
      <c r="A11" s="1"/>
      <c r="B11" s="1" t="s">
        <v>217</v>
      </c>
      <c r="C11" s="1">
        <v>100</v>
      </c>
    </row>
    <row r="12" spans="1:5" x14ac:dyDescent="0.3">
      <c r="A12" s="1"/>
      <c r="B12" s="1" t="s">
        <v>124</v>
      </c>
      <c r="C12" s="1">
        <v>49</v>
      </c>
    </row>
    <row r="13" spans="1:5" x14ac:dyDescent="0.3">
      <c r="A13" s="1"/>
      <c r="B13" s="1" t="s">
        <v>221</v>
      </c>
      <c r="C13" s="1">
        <v>67</v>
      </c>
    </row>
    <row r="14" spans="1:5" x14ac:dyDescent="0.3">
      <c r="A14" s="1"/>
      <c r="B14" s="1" t="s">
        <v>222</v>
      </c>
      <c r="C14" s="1">
        <v>45</v>
      </c>
    </row>
    <row r="15" spans="1:5" x14ac:dyDescent="0.3">
      <c r="A15" s="1"/>
      <c r="B15" s="1" t="s">
        <v>223</v>
      </c>
      <c r="C15" s="1">
        <v>77</v>
      </c>
    </row>
    <row r="16" spans="1:5" x14ac:dyDescent="0.3">
      <c r="C16" s="11" t="str">
        <f>IF(MAX(C9:C15)&gt;=99,"EASY","NOT")</f>
        <v>EASY</v>
      </c>
      <c r="E16" s="1"/>
    </row>
    <row r="19" spans="1:4" x14ac:dyDescent="0.3">
      <c r="B19" s="47"/>
    </row>
    <row r="20" spans="1:4" x14ac:dyDescent="0.3">
      <c r="A20" s="1"/>
      <c r="B20" s="38"/>
      <c r="D2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586CD-B02F-4530-AFEE-CCC3F3BEA92C}">
  <sheetPr codeName="Sheet15"/>
  <dimension ref="A8:C19"/>
  <sheetViews>
    <sheetView workbookViewId="0">
      <selection activeCell="B8" activeCellId="1" sqref="A9:D20 B8:D8"/>
    </sheetView>
  </sheetViews>
  <sheetFormatPr defaultRowHeight="14.4" x14ac:dyDescent="0.3"/>
  <cols>
    <col min="1" max="1" width="10.33203125" customWidth="1"/>
    <col min="2" max="2" width="15.5546875" customWidth="1"/>
    <col min="3" max="3" width="19.77734375" customWidth="1"/>
  </cols>
  <sheetData>
    <row r="8" spans="1:3" x14ac:dyDescent="0.3">
      <c r="A8" t="s">
        <v>224</v>
      </c>
    </row>
    <row r="9" spans="1:3" x14ac:dyDescent="0.3">
      <c r="A9" t="s">
        <v>225</v>
      </c>
    </row>
    <row r="10" spans="1:3" x14ac:dyDescent="0.3">
      <c r="A10" t="s">
        <v>226</v>
      </c>
    </row>
    <row r="11" spans="1:3" x14ac:dyDescent="0.3">
      <c r="A11" t="s">
        <v>227</v>
      </c>
    </row>
    <row r="13" spans="1:3" x14ac:dyDescent="0.3">
      <c r="A13" t="s">
        <v>228</v>
      </c>
    </row>
    <row r="15" spans="1:3" x14ac:dyDescent="0.3">
      <c r="A15" s="65" t="s">
        <v>229</v>
      </c>
      <c r="B15" s="65" t="s">
        <v>119</v>
      </c>
      <c r="C15" s="65" t="s">
        <v>230</v>
      </c>
    </row>
    <row r="16" spans="1:3" x14ac:dyDescent="0.3">
      <c r="A16" s="66" t="s">
        <v>231</v>
      </c>
      <c r="B16" s="66">
        <v>78</v>
      </c>
      <c r="C16" s="67" t="str" cm="1">
        <f t="array" ref="C16">_xlfn.IFS(B16&gt;80,"EXCELLENT",B16&gt;=60,"GOOD",B16&lt;60,"FAIL")</f>
        <v>GOOD</v>
      </c>
    </row>
    <row r="17" spans="1:3" x14ac:dyDescent="0.3">
      <c r="A17" s="66" t="s">
        <v>232</v>
      </c>
      <c r="B17" s="66">
        <v>85</v>
      </c>
      <c r="C17" s="67" t="str" cm="1">
        <f t="array" ref="C17">_xlfn.IFS(B17&gt;80,"EXCELLENT",B17&gt;=60,"GOOD",B17&lt;60,"FAIL")</f>
        <v>EXCELLENT</v>
      </c>
    </row>
    <row r="18" spans="1:3" x14ac:dyDescent="0.3">
      <c r="A18" s="66" t="s">
        <v>233</v>
      </c>
      <c r="B18" s="66">
        <v>44</v>
      </c>
      <c r="C18" s="67" t="str" cm="1">
        <f t="array" ref="C18">_xlfn.IFS(B18&gt;80,"EXCELLENT",B18&gt;=60,"GOOD",B18&lt;60,"FAIL")</f>
        <v>FAIL</v>
      </c>
    </row>
    <row r="19" spans="1:3" x14ac:dyDescent="0.3">
      <c r="A19" s="66" t="s">
        <v>234</v>
      </c>
      <c r="B19" s="66">
        <v>61</v>
      </c>
      <c r="C19" s="67" t="str" cm="1">
        <f t="array" ref="C19">_xlfn.IFS(B19&gt;80,"EXCELLENT",B19&gt;=60,"GOOD",B19&lt;60,"FAIL")</f>
        <v>GOOD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E9FE-B3D1-4C42-B6C4-7FD6ED1FEDCA}">
  <sheetPr codeName="Sheet16"/>
  <dimension ref="A7:D24"/>
  <sheetViews>
    <sheetView workbookViewId="0">
      <selection activeCell="J15" sqref="J15"/>
    </sheetView>
  </sheetViews>
  <sheetFormatPr defaultRowHeight="14.4" x14ac:dyDescent="0.3"/>
  <cols>
    <col min="1" max="1" width="11.5546875" customWidth="1"/>
    <col min="2" max="2" width="15.77734375" customWidth="1"/>
    <col min="3" max="3" width="11.44140625" customWidth="1"/>
    <col min="4" max="4" width="13.5546875" customWidth="1"/>
    <col min="5" max="5" width="10.33203125" customWidth="1"/>
    <col min="7" max="7" width="13.33203125" customWidth="1"/>
  </cols>
  <sheetData>
    <row r="7" spans="1:2" x14ac:dyDescent="0.3">
      <c r="A7" s="1" t="s">
        <v>235</v>
      </c>
    </row>
    <row r="8" spans="1:2" x14ac:dyDescent="0.3">
      <c r="A8" s="1" t="s">
        <v>236</v>
      </c>
    </row>
    <row r="10" spans="1:2" x14ac:dyDescent="0.3">
      <c r="A10" s="44"/>
    </row>
    <row r="11" spans="1:2" x14ac:dyDescent="0.3">
      <c r="A11" s="44" t="s">
        <v>23</v>
      </c>
      <c r="B11" s="44" t="s">
        <v>237</v>
      </c>
    </row>
    <row r="12" spans="1:2" x14ac:dyDescent="0.3">
      <c r="A12" s="1" t="s">
        <v>238</v>
      </c>
      <c r="B12" s="68">
        <v>759</v>
      </c>
    </row>
    <row r="13" spans="1:2" x14ac:dyDescent="0.3">
      <c r="A13" s="1" t="s">
        <v>239</v>
      </c>
      <c r="B13" s="68">
        <v>200</v>
      </c>
    </row>
    <row r="14" spans="1:2" x14ac:dyDescent="0.3">
      <c r="A14" s="1" t="s">
        <v>240</v>
      </c>
      <c r="B14" s="68">
        <v>42</v>
      </c>
    </row>
    <row r="15" spans="1:2" x14ac:dyDescent="0.3">
      <c r="A15" s="1" t="s">
        <v>241</v>
      </c>
      <c r="B15" s="68">
        <v>423</v>
      </c>
    </row>
    <row r="16" spans="1:2" x14ac:dyDescent="0.3">
      <c r="A16" s="1" t="s">
        <v>242</v>
      </c>
      <c r="B16" s="68">
        <v>200</v>
      </c>
    </row>
    <row r="17" spans="1:4" x14ac:dyDescent="0.3">
      <c r="A17" s="1" t="s">
        <v>243</v>
      </c>
      <c r="B17" s="68">
        <v>50</v>
      </c>
    </row>
    <row r="18" spans="1:4" x14ac:dyDescent="0.3">
      <c r="A18" s="1" t="s">
        <v>244</v>
      </c>
      <c r="B18" s="68">
        <v>700</v>
      </c>
    </row>
    <row r="19" spans="1:4" x14ac:dyDescent="0.3">
      <c r="A19" s="1" t="s">
        <v>245</v>
      </c>
      <c r="B19" s="68">
        <v>450</v>
      </c>
    </row>
    <row r="20" spans="1:4" x14ac:dyDescent="0.3">
      <c r="A20" s="1" t="s">
        <v>246</v>
      </c>
      <c r="B20" s="68">
        <v>605</v>
      </c>
    </row>
    <row r="21" spans="1:4" x14ac:dyDescent="0.3">
      <c r="A21" s="1" t="s">
        <v>247</v>
      </c>
      <c r="B21" s="68">
        <v>240</v>
      </c>
    </row>
    <row r="22" spans="1:4" x14ac:dyDescent="0.3">
      <c r="A22" s="1" t="s">
        <v>248</v>
      </c>
      <c r="B22" s="68">
        <v>685</v>
      </c>
    </row>
    <row r="23" spans="1:4" ht="15" thickBot="1" x14ac:dyDescent="0.35">
      <c r="A23" s="1" t="s">
        <v>249</v>
      </c>
      <c r="B23" s="68">
        <v>295</v>
      </c>
    </row>
    <row r="24" spans="1:4" ht="15" thickBot="1" x14ac:dyDescent="0.35">
      <c r="A24" s="1" t="s">
        <v>250</v>
      </c>
      <c r="B24" s="69">
        <f>SUM(B12:B23)</f>
        <v>4649</v>
      </c>
      <c r="C24" s="2" t="s">
        <v>251</v>
      </c>
      <c r="D24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56B9-73D4-4999-9A5B-B7111F4788C5}">
  <sheetPr codeName="Sheet17"/>
  <dimension ref="A8:C102"/>
  <sheetViews>
    <sheetView workbookViewId="0">
      <selection activeCell="I7" sqref="I7"/>
    </sheetView>
  </sheetViews>
  <sheetFormatPr defaultRowHeight="14.4" x14ac:dyDescent="0.3"/>
  <cols>
    <col min="1" max="1" width="75.44140625" bestFit="1" customWidth="1"/>
    <col min="2" max="2" width="11.109375" bestFit="1" customWidth="1"/>
  </cols>
  <sheetData>
    <row r="8" spans="1:2" x14ac:dyDescent="0.3">
      <c r="A8" s="1" t="s">
        <v>252</v>
      </c>
    </row>
    <row r="9" spans="1:2" x14ac:dyDescent="0.3">
      <c r="A9" s="1" t="s">
        <v>253</v>
      </c>
    </row>
    <row r="11" spans="1:2" x14ac:dyDescent="0.3">
      <c r="A11" s="70" t="s">
        <v>254</v>
      </c>
      <c r="B11" s="71" t="s">
        <v>255</v>
      </c>
    </row>
    <row r="12" spans="1:2" x14ac:dyDescent="0.3">
      <c r="A12" s="72">
        <v>42005</v>
      </c>
      <c r="B12" s="73">
        <v>432.17</v>
      </c>
    </row>
    <row r="13" spans="1:2" x14ac:dyDescent="0.3">
      <c r="A13" s="72">
        <v>42351</v>
      </c>
      <c r="B13" s="73">
        <v>528.5</v>
      </c>
    </row>
    <row r="14" spans="1:2" x14ac:dyDescent="0.3">
      <c r="A14" s="72">
        <v>42007</v>
      </c>
      <c r="B14" s="73">
        <v>810.71</v>
      </c>
    </row>
    <row r="15" spans="1:2" x14ac:dyDescent="0.3">
      <c r="A15" s="72">
        <v>42008</v>
      </c>
      <c r="B15" s="73">
        <v>418.54</v>
      </c>
    </row>
    <row r="16" spans="1:2" x14ac:dyDescent="0.3">
      <c r="A16" s="72">
        <v>42009</v>
      </c>
      <c r="B16" s="73">
        <v>722.22</v>
      </c>
    </row>
    <row r="17" spans="1:2" x14ac:dyDescent="0.3">
      <c r="A17" s="72">
        <v>42010</v>
      </c>
      <c r="B17" s="73">
        <v>460.28</v>
      </c>
    </row>
    <row r="18" spans="1:2" x14ac:dyDescent="0.3">
      <c r="A18" s="72">
        <v>42349</v>
      </c>
      <c r="B18" s="73">
        <v>483.58</v>
      </c>
    </row>
    <row r="19" spans="1:2" x14ac:dyDescent="0.3">
      <c r="A19" s="72">
        <v>42012</v>
      </c>
      <c r="B19" s="73">
        <v>114.53</v>
      </c>
    </row>
    <row r="20" spans="1:2" x14ac:dyDescent="0.3">
      <c r="A20" s="72">
        <v>42013</v>
      </c>
      <c r="B20" s="73">
        <v>609.12</v>
      </c>
    </row>
    <row r="21" spans="1:2" x14ac:dyDescent="0.3">
      <c r="A21" s="72">
        <v>42014</v>
      </c>
      <c r="B21" s="73">
        <v>1197.9000000000001</v>
      </c>
    </row>
    <row r="22" spans="1:2" x14ac:dyDescent="0.3">
      <c r="A22" s="72">
        <v>42015</v>
      </c>
      <c r="B22" s="73">
        <v>228.89</v>
      </c>
    </row>
    <row r="23" spans="1:2" x14ac:dyDescent="0.3">
      <c r="A23" s="72">
        <v>42016</v>
      </c>
      <c r="B23" s="73">
        <v>1380.07</v>
      </c>
    </row>
    <row r="24" spans="1:2" x14ac:dyDescent="0.3">
      <c r="A24" s="72">
        <v>42017</v>
      </c>
      <c r="B24" s="73">
        <v>1026.96</v>
      </c>
    </row>
    <row r="25" spans="1:2" x14ac:dyDescent="0.3">
      <c r="A25" s="72">
        <v>42018</v>
      </c>
      <c r="B25" s="73">
        <v>760.24</v>
      </c>
    </row>
    <row r="26" spans="1:2" x14ac:dyDescent="0.3">
      <c r="A26" s="72">
        <v>42019</v>
      </c>
      <c r="B26" s="73">
        <v>414.11</v>
      </c>
    </row>
    <row r="27" spans="1:2" x14ac:dyDescent="0.3">
      <c r="A27" s="72">
        <v>42020</v>
      </c>
      <c r="B27" s="73">
        <v>1728.81</v>
      </c>
    </row>
    <row r="28" spans="1:2" x14ac:dyDescent="0.3">
      <c r="A28" s="72">
        <v>42021</v>
      </c>
      <c r="B28" s="73">
        <v>276.06</v>
      </c>
    </row>
    <row r="29" spans="1:2" x14ac:dyDescent="0.3">
      <c r="A29" s="72">
        <v>42022</v>
      </c>
      <c r="B29" s="73">
        <v>462.22</v>
      </c>
    </row>
    <row r="30" spans="1:2" x14ac:dyDescent="0.3">
      <c r="A30" s="72">
        <v>42023</v>
      </c>
      <c r="B30" s="73">
        <v>1281.0999999999999</v>
      </c>
    </row>
    <row r="31" spans="1:2" x14ac:dyDescent="0.3">
      <c r="A31" s="72">
        <v>42024</v>
      </c>
      <c r="B31" s="73">
        <v>1113.7</v>
      </c>
    </row>
    <row r="32" spans="1:2" x14ac:dyDescent="0.3">
      <c r="A32" s="72">
        <v>42025</v>
      </c>
      <c r="B32" s="73">
        <v>594.09</v>
      </c>
    </row>
    <row r="33" spans="1:2" x14ac:dyDescent="0.3">
      <c r="A33" s="72">
        <v>42026</v>
      </c>
      <c r="B33" s="73">
        <v>432.67</v>
      </c>
    </row>
    <row r="34" spans="1:2" x14ac:dyDescent="0.3">
      <c r="A34" s="72">
        <v>42027</v>
      </c>
      <c r="B34" s="73">
        <v>874.45</v>
      </c>
    </row>
    <row r="35" spans="1:2" x14ac:dyDescent="0.3">
      <c r="A35" s="72">
        <v>42028</v>
      </c>
      <c r="B35" s="73">
        <v>880.38</v>
      </c>
    </row>
    <row r="36" spans="1:2" x14ac:dyDescent="0.3">
      <c r="A36" s="72">
        <v>42029</v>
      </c>
      <c r="B36" s="73">
        <v>798.53</v>
      </c>
    </row>
    <row r="37" spans="1:2" x14ac:dyDescent="0.3">
      <c r="A37" s="72">
        <v>42318</v>
      </c>
      <c r="B37" s="73">
        <v>572.41999999999996</v>
      </c>
    </row>
    <row r="38" spans="1:2" x14ac:dyDescent="0.3">
      <c r="A38" s="72">
        <v>42031</v>
      </c>
      <c r="B38" s="73">
        <v>330.61</v>
      </c>
    </row>
    <row r="39" spans="1:2" x14ac:dyDescent="0.3">
      <c r="A39" s="72">
        <v>42032</v>
      </c>
      <c r="B39" s="73">
        <v>567.17999999999995</v>
      </c>
    </row>
    <row r="40" spans="1:2" x14ac:dyDescent="0.3">
      <c r="A40" s="72">
        <v>42033</v>
      </c>
      <c r="B40" s="73">
        <v>1449.21</v>
      </c>
    </row>
    <row r="41" spans="1:2" x14ac:dyDescent="0.3">
      <c r="A41" s="72">
        <v>42034</v>
      </c>
      <c r="B41" s="73">
        <v>459.29</v>
      </c>
    </row>
    <row r="42" spans="1:2" x14ac:dyDescent="0.3">
      <c r="A42" s="72">
        <v>42035</v>
      </c>
      <c r="B42" s="73">
        <v>357.55</v>
      </c>
    </row>
    <row r="43" spans="1:2" x14ac:dyDescent="0.3">
      <c r="A43" s="72">
        <v>42036</v>
      </c>
      <c r="B43" s="73">
        <v>154.34</v>
      </c>
    </row>
    <row r="44" spans="1:2" x14ac:dyDescent="0.3">
      <c r="A44" s="72">
        <v>42037</v>
      </c>
      <c r="B44" s="73">
        <v>152.76</v>
      </c>
    </row>
    <row r="45" spans="1:2" x14ac:dyDescent="0.3">
      <c r="A45" s="72">
        <v>42038</v>
      </c>
      <c r="B45" s="73">
        <v>570.22</v>
      </c>
    </row>
    <row r="46" spans="1:2" x14ac:dyDescent="0.3">
      <c r="A46" s="72">
        <v>42039</v>
      </c>
      <c r="B46" s="73">
        <v>987.62</v>
      </c>
    </row>
    <row r="47" spans="1:2" x14ac:dyDescent="0.3">
      <c r="A47" s="72">
        <v>42040</v>
      </c>
      <c r="B47" s="73">
        <v>1755.71</v>
      </c>
    </row>
    <row r="48" spans="1:2" x14ac:dyDescent="0.3">
      <c r="A48" s="72">
        <v>42041</v>
      </c>
      <c r="B48" s="73">
        <v>378.27</v>
      </c>
    </row>
    <row r="49" spans="1:2" x14ac:dyDescent="0.3">
      <c r="A49" s="72">
        <v>42042</v>
      </c>
      <c r="B49" s="73">
        <v>1323.81</v>
      </c>
    </row>
    <row r="50" spans="1:2" x14ac:dyDescent="0.3">
      <c r="A50" s="72">
        <v>42043</v>
      </c>
      <c r="B50" s="73">
        <v>399.02</v>
      </c>
    </row>
    <row r="51" spans="1:2" x14ac:dyDescent="0.3">
      <c r="A51" s="72">
        <v>42044</v>
      </c>
      <c r="B51" s="73">
        <v>154.94999999999999</v>
      </c>
    </row>
    <row r="52" spans="1:2" x14ac:dyDescent="0.3">
      <c r="A52" s="72">
        <v>42045</v>
      </c>
      <c r="B52" s="73">
        <v>1254.57</v>
      </c>
    </row>
    <row r="53" spans="1:2" x14ac:dyDescent="0.3">
      <c r="A53" s="72">
        <v>42046</v>
      </c>
      <c r="B53" s="73">
        <v>627.32000000000005</v>
      </c>
    </row>
    <row r="54" spans="1:2" x14ac:dyDescent="0.3">
      <c r="A54" s="72">
        <v>42230</v>
      </c>
      <c r="B54" s="73">
        <v>880.6</v>
      </c>
    </row>
    <row r="55" spans="1:2" x14ac:dyDescent="0.3">
      <c r="A55" s="72">
        <v>42048</v>
      </c>
      <c r="B55" s="73">
        <v>1196.03</v>
      </c>
    </row>
    <row r="56" spans="1:2" x14ac:dyDescent="0.3">
      <c r="A56" s="72">
        <v>42049</v>
      </c>
      <c r="B56" s="73">
        <v>782.32</v>
      </c>
    </row>
    <row r="57" spans="1:2" x14ac:dyDescent="0.3">
      <c r="A57" s="72">
        <v>42050</v>
      </c>
      <c r="B57" s="73">
        <v>1323.35</v>
      </c>
    </row>
    <row r="58" spans="1:2" x14ac:dyDescent="0.3">
      <c r="A58" s="72">
        <v>42051</v>
      </c>
      <c r="B58" s="73">
        <v>209.92</v>
      </c>
    </row>
    <row r="59" spans="1:2" x14ac:dyDescent="0.3">
      <c r="A59" s="72">
        <v>42052</v>
      </c>
      <c r="B59" s="73">
        <v>1232.05</v>
      </c>
    </row>
    <row r="60" spans="1:2" x14ac:dyDescent="0.3">
      <c r="A60" s="72">
        <v>42053</v>
      </c>
      <c r="B60" s="73">
        <v>713.28</v>
      </c>
    </row>
    <row r="61" spans="1:2" x14ac:dyDescent="0.3">
      <c r="A61" s="72">
        <v>42054</v>
      </c>
      <c r="B61" s="73">
        <v>1674.82</v>
      </c>
    </row>
    <row r="62" spans="1:2" x14ac:dyDescent="0.3">
      <c r="A62" s="72">
        <v>42055</v>
      </c>
      <c r="B62" s="73">
        <v>1161.25</v>
      </c>
    </row>
    <row r="63" spans="1:2" x14ac:dyDescent="0.3">
      <c r="A63" s="72">
        <v>42056</v>
      </c>
      <c r="B63" s="73">
        <v>897.63</v>
      </c>
    </row>
    <row r="64" spans="1:2" x14ac:dyDescent="0.3">
      <c r="A64" s="72">
        <v>42057</v>
      </c>
      <c r="B64" s="73">
        <v>1647.26</v>
      </c>
    </row>
    <row r="65" spans="1:2" x14ac:dyDescent="0.3">
      <c r="A65" s="72">
        <v>42058</v>
      </c>
      <c r="B65" s="73">
        <v>1121.96</v>
      </c>
    </row>
    <row r="66" spans="1:2" x14ac:dyDescent="0.3">
      <c r="A66" s="72">
        <v>42059</v>
      </c>
      <c r="B66" s="73">
        <v>352.2</v>
      </c>
    </row>
    <row r="67" spans="1:2" x14ac:dyDescent="0.3">
      <c r="A67" s="72">
        <v>42060</v>
      </c>
      <c r="B67" s="73">
        <v>270.77999999999997</v>
      </c>
    </row>
    <row r="68" spans="1:2" x14ac:dyDescent="0.3">
      <c r="A68" s="72">
        <v>42061</v>
      </c>
      <c r="B68" s="73">
        <v>456.41</v>
      </c>
    </row>
    <row r="69" spans="1:2" x14ac:dyDescent="0.3">
      <c r="A69" s="72">
        <v>42062</v>
      </c>
      <c r="B69" s="73">
        <v>441</v>
      </c>
    </row>
    <row r="70" spans="1:2" x14ac:dyDescent="0.3">
      <c r="A70" s="72">
        <v>42063</v>
      </c>
      <c r="B70" s="73">
        <v>252.44</v>
      </c>
    </row>
    <row r="71" spans="1:2" x14ac:dyDescent="0.3">
      <c r="A71" s="72">
        <v>42064</v>
      </c>
      <c r="B71" s="73">
        <v>1298.92</v>
      </c>
    </row>
    <row r="72" spans="1:2" x14ac:dyDescent="0.3">
      <c r="A72" s="72">
        <v>42065</v>
      </c>
      <c r="B72" s="73">
        <v>1178.07</v>
      </c>
    </row>
    <row r="73" spans="1:2" x14ac:dyDescent="0.3">
      <c r="A73" s="72">
        <v>42066</v>
      </c>
      <c r="B73" s="73">
        <v>459.95</v>
      </c>
    </row>
    <row r="74" spans="1:2" x14ac:dyDescent="0.3">
      <c r="A74" s="72">
        <v>42067</v>
      </c>
      <c r="B74" s="73">
        <v>1219.7</v>
      </c>
    </row>
    <row r="75" spans="1:2" x14ac:dyDescent="0.3">
      <c r="A75" s="72">
        <v>42068</v>
      </c>
      <c r="B75" s="73">
        <v>152.24</v>
      </c>
    </row>
    <row r="76" spans="1:2" x14ac:dyDescent="0.3">
      <c r="A76" s="72">
        <v>42069</v>
      </c>
      <c r="B76" s="73">
        <v>770.8</v>
      </c>
    </row>
    <row r="77" spans="1:2" x14ac:dyDescent="0.3">
      <c r="A77" s="72">
        <v>42070</v>
      </c>
      <c r="B77" s="73">
        <v>1357.25</v>
      </c>
    </row>
    <row r="78" spans="1:2" x14ac:dyDescent="0.3">
      <c r="A78" s="72">
        <v>42187</v>
      </c>
      <c r="B78" s="73">
        <v>220.18</v>
      </c>
    </row>
    <row r="79" spans="1:2" x14ac:dyDescent="0.3">
      <c r="A79" s="72">
        <v>42072</v>
      </c>
      <c r="B79" s="73">
        <v>1102.81</v>
      </c>
    </row>
    <row r="80" spans="1:2" x14ac:dyDescent="0.3">
      <c r="A80" s="72">
        <v>42073</v>
      </c>
      <c r="B80" s="73">
        <v>1566.83</v>
      </c>
    </row>
    <row r="81" spans="1:2" x14ac:dyDescent="0.3">
      <c r="A81" s="72">
        <v>42074</v>
      </c>
      <c r="B81" s="73">
        <v>437.92</v>
      </c>
    </row>
    <row r="82" spans="1:2" x14ac:dyDescent="0.3">
      <c r="A82" s="72">
        <v>42075</v>
      </c>
      <c r="B82" s="73">
        <v>1216.1199999999999</v>
      </c>
    </row>
    <row r="83" spans="1:2" x14ac:dyDescent="0.3">
      <c r="A83" s="72">
        <v>42076</v>
      </c>
      <c r="B83" s="73">
        <v>273.10000000000002</v>
      </c>
    </row>
    <row r="84" spans="1:2" x14ac:dyDescent="0.3">
      <c r="A84" s="72">
        <v>42077</v>
      </c>
      <c r="B84" s="73">
        <v>242.26</v>
      </c>
    </row>
    <row r="85" spans="1:2" x14ac:dyDescent="0.3">
      <c r="A85" s="72">
        <v>42078</v>
      </c>
      <c r="B85" s="73">
        <v>1512.6</v>
      </c>
    </row>
    <row r="86" spans="1:2" x14ac:dyDescent="0.3">
      <c r="A86" s="72">
        <v>42079</v>
      </c>
      <c r="B86" s="73">
        <v>783.75</v>
      </c>
    </row>
    <row r="87" spans="1:2" x14ac:dyDescent="0.3">
      <c r="A87" s="72">
        <v>42189</v>
      </c>
      <c r="B87" s="73">
        <v>667.99</v>
      </c>
    </row>
    <row r="88" spans="1:2" x14ac:dyDescent="0.3">
      <c r="A88" s="72">
        <v>42081</v>
      </c>
      <c r="B88" s="73">
        <v>1166.31</v>
      </c>
    </row>
    <row r="89" spans="1:2" x14ac:dyDescent="0.3">
      <c r="A89" s="72">
        <v>42082</v>
      </c>
      <c r="B89" s="73">
        <v>770.18</v>
      </c>
    </row>
    <row r="90" spans="1:2" x14ac:dyDescent="0.3">
      <c r="A90" s="72">
        <v>42083</v>
      </c>
      <c r="B90" s="73">
        <v>132.34</v>
      </c>
    </row>
    <row r="91" spans="1:2" x14ac:dyDescent="0.3">
      <c r="A91" s="72">
        <v>42084</v>
      </c>
      <c r="B91" s="73">
        <v>1188.81</v>
      </c>
    </row>
    <row r="92" spans="1:2" x14ac:dyDescent="0.3">
      <c r="A92" s="72">
        <v>42085</v>
      </c>
      <c r="B92" s="73">
        <v>198.06</v>
      </c>
    </row>
    <row r="93" spans="1:2" x14ac:dyDescent="0.3">
      <c r="A93" s="72">
        <v>42086</v>
      </c>
      <c r="B93" s="73">
        <v>594.16999999999996</v>
      </c>
    </row>
    <row r="94" spans="1:2" x14ac:dyDescent="0.3">
      <c r="A94" s="72">
        <v>42087</v>
      </c>
      <c r="B94" s="73">
        <v>931.09</v>
      </c>
    </row>
    <row r="95" spans="1:2" x14ac:dyDescent="0.3">
      <c r="A95" s="72">
        <v>42088</v>
      </c>
      <c r="B95" s="73">
        <v>299.64</v>
      </c>
    </row>
    <row r="96" spans="1:2" x14ac:dyDescent="0.3">
      <c r="A96" s="72">
        <v>42223</v>
      </c>
      <c r="B96" s="73">
        <v>1701.68</v>
      </c>
    </row>
    <row r="97" spans="1:3" x14ac:dyDescent="0.3">
      <c r="A97" s="72">
        <v>42090</v>
      </c>
      <c r="B97" s="73">
        <v>399.15</v>
      </c>
    </row>
    <row r="98" spans="1:3" x14ac:dyDescent="0.3">
      <c r="A98" s="72">
        <v>42091</v>
      </c>
      <c r="B98" s="73">
        <v>374.81</v>
      </c>
    </row>
    <row r="99" spans="1:3" x14ac:dyDescent="0.3">
      <c r="A99" s="72">
        <v>42092</v>
      </c>
      <c r="B99" s="73">
        <v>462.17</v>
      </c>
    </row>
    <row r="100" spans="1:3" x14ac:dyDescent="0.3">
      <c r="A100" s="72">
        <v>42093</v>
      </c>
      <c r="B100" s="73">
        <v>924.29</v>
      </c>
    </row>
    <row r="101" spans="1:3" x14ac:dyDescent="0.3">
      <c r="A101" s="72">
        <v>42094</v>
      </c>
      <c r="B101" s="73">
        <v>5000.6000000000004</v>
      </c>
    </row>
    <row r="102" spans="1:3" x14ac:dyDescent="0.3">
      <c r="A102" s="74"/>
      <c r="B102" s="75">
        <f>SUM(B11:B101)</f>
        <v>72741.76999999996</v>
      </c>
      <c r="C102" s="2" t="s">
        <v>251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FCDD-EFB2-4CE8-A72C-D5AF56C24356}">
  <sheetPr codeName="Sheet18"/>
  <dimension ref="A6:F187"/>
  <sheetViews>
    <sheetView workbookViewId="0">
      <selection activeCell="A6" sqref="A6:F187"/>
    </sheetView>
  </sheetViews>
  <sheetFormatPr defaultRowHeight="14.4" x14ac:dyDescent="0.3"/>
  <cols>
    <col min="3" max="3" width="12.5546875" bestFit="1" customWidth="1"/>
  </cols>
  <sheetData>
    <row r="6" spans="1:5" x14ac:dyDescent="0.3">
      <c r="A6" s="2">
        <v>1</v>
      </c>
      <c r="B6" s="1" t="s">
        <v>256</v>
      </c>
    </row>
    <row r="8" spans="1:5" x14ac:dyDescent="0.3">
      <c r="B8" s="2" t="s">
        <v>257</v>
      </c>
      <c r="C8" s="76" t="s">
        <v>258</v>
      </c>
      <c r="E8" s="44"/>
    </row>
    <row r="9" spans="1:5" x14ac:dyDescent="0.3">
      <c r="B9" s="1" t="s">
        <v>259</v>
      </c>
      <c r="C9" s="75">
        <f>SUM(D29:D187)</f>
        <v>99498</v>
      </c>
      <c r="D9" s="1"/>
      <c r="E9" s="1"/>
    </row>
    <row r="11" spans="1:5" x14ac:dyDescent="0.3">
      <c r="B11" s="2" t="s">
        <v>257</v>
      </c>
      <c r="C11" s="76" t="s">
        <v>260</v>
      </c>
    </row>
    <row r="12" spans="1:5" x14ac:dyDescent="0.3">
      <c r="B12" s="1" t="s">
        <v>259</v>
      </c>
      <c r="C12" s="75">
        <f>SUM(E29:E187)</f>
        <v>211409</v>
      </c>
      <c r="D12" s="1"/>
    </row>
    <row r="14" spans="1:5" x14ac:dyDescent="0.3">
      <c r="B14" s="2" t="s">
        <v>257</v>
      </c>
      <c r="C14" s="76" t="s">
        <v>261</v>
      </c>
    </row>
    <row r="15" spans="1:5" x14ac:dyDescent="0.3">
      <c r="B15" s="1" t="s">
        <v>259</v>
      </c>
      <c r="C15" s="75">
        <f>SUM(F29:F187)</f>
        <v>127820</v>
      </c>
      <c r="D15" s="1"/>
    </row>
    <row r="17" spans="1:6" x14ac:dyDescent="0.3">
      <c r="A17" s="2">
        <v>2</v>
      </c>
      <c r="B17" s="77" t="s">
        <v>262</v>
      </c>
      <c r="C17" s="78"/>
      <c r="D17" s="78"/>
      <c r="E17" s="78"/>
    </row>
    <row r="18" spans="1:6" x14ac:dyDescent="0.3">
      <c r="C18" s="79">
        <f>SUM(D32:F32)</f>
        <v>5124</v>
      </c>
      <c r="D18" s="1"/>
      <c r="E18" s="1"/>
      <c r="F18" s="1"/>
    </row>
    <row r="20" spans="1:6" x14ac:dyDescent="0.3">
      <c r="A20" s="2">
        <v>3</v>
      </c>
      <c r="B20" s="77" t="s">
        <v>263</v>
      </c>
      <c r="C20" s="78"/>
      <c r="D20" s="78"/>
      <c r="E20" s="78"/>
      <c r="F20" s="78"/>
    </row>
    <row r="21" spans="1:6" x14ac:dyDescent="0.3">
      <c r="C21" s="79">
        <f>SUM(D30:F49)</f>
        <v>89884</v>
      </c>
      <c r="D21" s="1"/>
      <c r="E21" s="80"/>
      <c r="F21" s="1"/>
    </row>
    <row r="22" spans="1:6" x14ac:dyDescent="0.3">
      <c r="E22" s="80"/>
      <c r="F22" s="1"/>
    </row>
    <row r="23" spans="1:6" x14ac:dyDescent="0.3">
      <c r="A23" s="2">
        <v>4</v>
      </c>
      <c r="B23" s="77" t="s">
        <v>264</v>
      </c>
      <c r="C23" s="78"/>
      <c r="D23" s="78"/>
      <c r="E23" s="78"/>
      <c r="F23" s="78"/>
    </row>
    <row r="24" spans="1:6" x14ac:dyDescent="0.3">
      <c r="B24" s="1" t="s">
        <v>265</v>
      </c>
      <c r="C24" s="81">
        <f>SUM(D29:D187)</f>
        <v>99498</v>
      </c>
      <c r="D24" s="1"/>
      <c r="F24" s="2"/>
    </row>
    <row r="25" spans="1:6" x14ac:dyDescent="0.3">
      <c r="B25" s="1" t="s">
        <v>266</v>
      </c>
      <c r="C25" s="82">
        <f>SUM(F29:F187)</f>
        <v>127820</v>
      </c>
      <c r="D25" s="1"/>
      <c r="F25" s="1"/>
    </row>
    <row r="26" spans="1:6" x14ac:dyDescent="0.3">
      <c r="B26" s="1"/>
      <c r="F26" s="1"/>
    </row>
    <row r="27" spans="1:6" x14ac:dyDescent="0.3">
      <c r="F27" s="1"/>
    </row>
    <row r="28" spans="1:6" x14ac:dyDescent="0.3">
      <c r="D28" s="148" t="s">
        <v>257</v>
      </c>
      <c r="E28" s="149"/>
      <c r="F28" s="150"/>
    </row>
    <row r="29" spans="1:6" x14ac:dyDescent="0.3">
      <c r="B29" s="83" t="s">
        <v>267</v>
      </c>
      <c r="C29" s="84" t="s">
        <v>268</v>
      </c>
      <c r="D29" s="76" t="s">
        <v>258</v>
      </c>
      <c r="E29" s="76" t="s">
        <v>260</v>
      </c>
      <c r="F29" s="76" t="s">
        <v>261</v>
      </c>
    </row>
    <row r="30" spans="1:6" x14ac:dyDescent="0.3">
      <c r="B30" s="85" t="s">
        <v>269</v>
      </c>
      <c r="C30" s="85" t="s">
        <v>270</v>
      </c>
      <c r="D30" s="86">
        <v>3419</v>
      </c>
      <c r="E30" s="86">
        <v>4378</v>
      </c>
      <c r="F30" s="87">
        <v>2755</v>
      </c>
    </row>
    <row r="31" spans="1:6" x14ac:dyDescent="0.3">
      <c r="B31" s="85" t="s">
        <v>269</v>
      </c>
      <c r="C31" s="85" t="s">
        <v>271</v>
      </c>
      <c r="D31" s="86">
        <v>1492</v>
      </c>
      <c r="E31" s="86">
        <v>2126</v>
      </c>
      <c r="F31" s="87">
        <v>2103</v>
      </c>
    </row>
    <row r="32" spans="1:6" x14ac:dyDescent="0.3">
      <c r="B32" s="85" t="s">
        <v>269</v>
      </c>
      <c r="C32" s="85" t="s">
        <v>272</v>
      </c>
      <c r="D32" s="86">
        <v>1371</v>
      </c>
      <c r="E32" s="86">
        <v>1930</v>
      </c>
      <c r="F32" s="87">
        <v>1823</v>
      </c>
    </row>
    <row r="33" spans="2:6" x14ac:dyDescent="0.3">
      <c r="B33" s="85" t="s">
        <v>269</v>
      </c>
      <c r="C33" s="85" t="s">
        <v>273</v>
      </c>
      <c r="D33" s="86">
        <v>1607</v>
      </c>
      <c r="E33" s="86">
        <v>2133</v>
      </c>
      <c r="F33" s="87">
        <v>2102</v>
      </c>
    </row>
    <row r="34" spans="2:6" x14ac:dyDescent="0.3">
      <c r="B34" s="85" t="s">
        <v>269</v>
      </c>
      <c r="C34" s="85" t="s">
        <v>274</v>
      </c>
      <c r="D34" s="86">
        <v>951</v>
      </c>
      <c r="E34" s="86">
        <v>1445</v>
      </c>
      <c r="F34" s="87">
        <v>1416</v>
      </c>
    </row>
    <row r="35" spans="2:6" x14ac:dyDescent="0.3">
      <c r="B35" s="85" t="s">
        <v>269</v>
      </c>
      <c r="C35" s="85" t="s">
        <v>275</v>
      </c>
      <c r="D35" s="86">
        <v>889</v>
      </c>
      <c r="E35" s="86">
        <v>1293</v>
      </c>
      <c r="F35" s="87">
        <v>1526</v>
      </c>
    </row>
    <row r="36" spans="2:6" x14ac:dyDescent="0.3">
      <c r="B36" s="85" t="s">
        <v>269</v>
      </c>
      <c r="C36" s="85" t="s">
        <v>276</v>
      </c>
      <c r="D36" s="86">
        <v>1254</v>
      </c>
      <c r="E36" s="86">
        <v>1989</v>
      </c>
      <c r="F36" s="87">
        <v>1685</v>
      </c>
    </row>
    <row r="37" spans="2:6" x14ac:dyDescent="0.3">
      <c r="B37" s="85" t="s">
        <v>269</v>
      </c>
      <c r="C37" s="85" t="s">
        <v>277</v>
      </c>
      <c r="D37" s="86">
        <v>1025</v>
      </c>
      <c r="E37" s="86">
        <v>1362</v>
      </c>
      <c r="F37" s="87">
        <v>2077</v>
      </c>
    </row>
    <row r="38" spans="2:6" x14ac:dyDescent="0.3">
      <c r="B38" s="85" t="s">
        <v>269</v>
      </c>
      <c r="C38" s="85" t="s">
        <v>278</v>
      </c>
      <c r="D38" s="86">
        <v>1194</v>
      </c>
      <c r="E38" s="86">
        <v>2016</v>
      </c>
      <c r="F38" s="87">
        <v>1452</v>
      </c>
    </row>
    <row r="39" spans="2:6" x14ac:dyDescent="0.3">
      <c r="B39" s="85" t="s">
        <v>269</v>
      </c>
      <c r="C39" s="85" t="s">
        <v>279</v>
      </c>
      <c r="D39" s="86">
        <v>607</v>
      </c>
      <c r="E39" s="86">
        <v>853</v>
      </c>
      <c r="F39" s="87">
        <v>1022</v>
      </c>
    </row>
    <row r="40" spans="2:6" x14ac:dyDescent="0.3">
      <c r="B40" s="85" t="s">
        <v>269</v>
      </c>
      <c r="C40" s="85" t="s">
        <v>280</v>
      </c>
      <c r="D40" s="86">
        <v>626</v>
      </c>
      <c r="E40" s="86">
        <v>1569</v>
      </c>
      <c r="F40" s="87">
        <v>1033</v>
      </c>
    </row>
    <row r="41" spans="2:6" x14ac:dyDescent="0.3">
      <c r="B41" s="85" t="s">
        <v>269</v>
      </c>
      <c r="C41" s="85" t="s">
        <v>281</v>
      </c>
      <c r="D41" s="86">
        <v>1037</v>
      </c>
      <c r="E41" s="86">
        <v>2300</v>
      </c>
      <c r="F41" s="87">
        <v>1598</v>
      </c>
    </row>
    <row r="42" spans="2:6" x14ac:dyDescent="0.3">
      <c r="B42" s="85" t="s">
        <v>269</v>
      </c>
      <c r="C42" s="85" t="s">
        <v>282</v>
      </c>
      <c r="D42" s="86">
        <v>972</v>
      </c>
      <c r="E42" s="86">
        <v>2128</v>
      </c>
      <c r="F42" s="87">
        <v>912</v>
      </c>
    </row>
    <row r="43" spans="2:6" x14ac:dyDescent="0.3">
      <c r="B43" s="85" t="s">
        <v>269</v>
      </c>
      <c r="C43" s="85" t="s">
        <v>283</v>
      </c>
      <c r="D43" s="86">
        <v>88</v>
      </c>
      <c r="E43" s="86">
        <v>1159</v>
      </c>
      <c r="F43" s="87">
        <v>0</v>
      </c>
    </row>
    <row r="44" spans="2:6" x14ac:dyDescent="0.3">
      <c r="B44" s="85" t="s">
        <v>269</v>
      </c>
      <c r="C44" s="85" t="s">
        <v>284</v>
      </c>
      <c r="D44" s="86">
        <v>2052</v>
      </c>
      <c r="E44" s="86">
        <v>2159</v>
      </c>
      <c r="F44" s="87">
        <v>1582</v>
      </c>
    </row>
    <row r="45" spans="2:6" x14ac:dyDescent="0.3">
      <c r="B45" s="85" t="s">
        <v>269</v>
      </c>
      <c r="C45" s="85" t="s">
        <v>285</v>
      </c>
      <c r="D45" s="86">
        <v>1582</v>
      </c>
      <c r="E45" s="86">
        <v>2308</v>
      </c>
      <c r="F45" s="87">
        <v>1699</v>
      </c>
    </row>
    <row r="46" spans="2:6" x14ac:dyDescent="0.3">
      <c r="B46" s="85" t="s">
        <v>269</v>
      </c>
      <c r="C46" s="85" t="s">
        <v>286</v>
      </c>
      <c r="D46" s="86">
        <v>1088</v>
      </c>
      <c r="E46" s="86">
        <v>1218</v>
      </c>
      <c r="F46" s="87">
        <v>981</v>
      </c>
    </row>
    <row r="47" spans="2:6" x14ac:dyDescent="0.3">
      <c r="B47" s="85" t="s">
        <v>269</v>
      </c>
      <c r="C47" s="85" t="s">
        <v>287</v>
      </c>
      <c r="D47" s="86">
        <v>706</v>
      </c>
      <c r="E47" s="86">
        <v>1151</v>
      </c>
      <c r="F47" s="87">
        <v>1145</v>
      </c>
    </row>
    <row r="48" spans="2:6" x14ac:dyDescent="0.3">
      <c r="B48" s="85" t="s">
        <v>269</v>
      </c>
      <c r="C48" s="85" t="s">
        <v>288</v>
      </c>
      <c r="D48" s="86">
        <v>1335</v>
      </c>
      <c r="E48" s="86">
        <v>2098</v>
      </c>
      <c r="F48" s="87">
        <v>1322</v>
      </c>
    </row>
    <row r="49" spans="2:6" x14ac:dyDescent="0.3">
      <c r="B49" s="85" t="s">
        <v>269</v>
      </c>
      <c r="C49" s="85" t="s">
        <v>289</v>
      </c>
      <c r="D49" s="86">
        <v>702</v>
      </c>
      <c r="E49" s="86">
        <v>1162</v>
      </c>
      <c r="F49" s="87">
        <v>877</v>
      </c>
    </row>
    <row r="50" spans="2:6" x14ac:dyDescent="0.3">
      <c r="B50" s="85" t="s">
        <v>269</v>
      </c>
      <c r="C50" s="85" t="s">
        <v>290</v>
      </c>
      <c r="D50" s="86">
        <v>968</v>
      </c>
      <c r="E50" s="86">
        <v>1101</v>
      </c>
      <c r="F50" s="87">
        <v>797</v>
      </c>
    </row>
    <row r="51" spans="2:6" x14ac:dyDescent="0.3">
      <c r="B51" s="85" t="s">
        <v>269</v>
      </c>
      <c r="C51" s="85" t="s">
        <v>291</v>
      </c>
      <c r="D51" s="86">
        <v>1664</v>
      </c>
      <c r="E51" s="86">
        <v>2069</v>
      </c>
      <c r="F51" s="87">
        <v>1710</v>
      </c>
    </row>
    <row r="52" spans="2:6" x14ac:dyDescent="0.3">
      <c r="B52" s="85" t="s">
        <v>269</v>
      </c>
      <c r="C52" s="85" t="s">
        <v>292</v>
      </c>
      <c r="D52" s="86">
        <v>624</v>
      </c>
      <c r="E52" s="86">
        <v>770</v>
      </c>
      <c r="F52" s="87">
        <v>746</v>
      </c>
    </row>
    <row r="53" spans="2:6" x14ac:dyDescent="0.3">
      <c r="B53" s="85" t="s">
        <v>269</v>
      </c>
      <c r="C53" s="85" t="s">
        <v>293</v>
      </c>
      <c r="D53" s="86">
        <v>685</v>
      </c>
      <c r="E53" s="86">
        <v>1501</v>
      </c>
      <c r="F53" s="87">
        <v>1126</v>
      </c>
    </row>
    <row r="54" spans="2:6" x14ac:dyDescent="0.3">
      <c r="B54" s="85" t="s">
        <v>269</v>
      </c>
      <c r="C54" s="85" t="s">
        <v>294</v>
      </c>
      <c r="D54" s="86">
        <v>1248</v>
      </c>
      <c r="E54" s="86">
        <v>1763</v>
      </c>
      <c r="F54" s="87">
        <v>1146</v>
      </c>
    </row>
    <row r="55" spans="2:6" x14ac:dyDescent="0.3">
      <c r="B55" s="85" t="s">
        <v>269</v>
      </c>
      <c r="C55" s="85" t="s">
        <v>295</v>
      </c>
      <c r="D55" s="86">
        <v>1342</v>
      </c>
      <c r="E55" s="86">
        <v>1559</v>
      </c>
      <c r="F55" s="87">
        <v>1307</v>
      </c>
    </row>
    <row r="56" spans="2:6" x14ac:dyDescent="0.3">
      <c r="B56" s="85" t="s">
        <v>269</v>
      </c>
      <c r="C56" s="85" t="s">
        <v>296</v>
      </c>
      <c r="D56" s="86">
        <v>760</v>
      </c>
      <c r="E56" s="86">
        <v>965</v>
      </c>
      <c r="F56" s="87">
        <v>921</v>
      </c>
    </row>
    <row r="57" spans="2:6" x14ac:dyDescent="0.3">
      <c r="B57" s="85" t="s">
        <v>269</v>
      </c>
      <c r="C57" s="85" t="s">
        <v>297</v>
      </c>
      <c r="D57" s="86">
        <v>1187</v>
      </c>
      <c r="E57" s="86">
        <v>1568</v>
      </c>
      <c r="F57" s="87">
        <v>1190</v>
      </c>
    </row>
    <row r="58" spans="2:6" x14ac:dyDescent="0.3">
      <c r="B58" s="85" t="s">
        <v>269</v>
      </c>
      <c r="C58" s="85" t="s">
        <v>298</v>
      </c>
      <c r="D58" s="86">
        <v>0</v>
      </c>
      <c r="E58" s="86">
        <v>0</v>
      </c>
      <c r="F58" s="87">
        <v>277</v>
      </c>
    </row>
    <row r="59" spans="2:6" x14ac:dyDescent="0.3">
      <c r="B59" s="85" t="s">
        <v>269</v>
      </c>
      <c r="C59" s="85" t="s">
        <v>299</v>
      </c>
      <c r="D59" s="86">
        <v>368</v>
      </c>
      <c r="E59" s="86">
        <v>1386</v>
      </c>
      <c r="F59" s="87">
        <v>637</v>
      </c>
    </row>
    <row r="60" spans="2:6" x14ac:dyDescent="0.3">
      <c r="B60" s="85" t="s">
        <v>269</v>
      </c>
      <c r="C60" s="85" t="s">
        <v>300</v>
      </c>
      <c r="D60" s="86">
        <v>317</v>
      </c>
      <c r="E60" s="86">
        <v>1215</v>
      </c>
      <c r="F60" s="87">
        <v>478</v>
      </c>
    </row>
    <row r="61" spans="2:6" x14ac:dyDescent="0.3">
      <c r="B61" s="85" t="s">
        <v>269</v>
      </c>
      <c r="C61" s="85" t="s">
        <v>301</v>
      </c>
      <c r="D61" s="86">
        <v>689</v>
      </c>
      <c r="E61" s="86">
        <v>2544</v>
      </c>
      <c r="F61" s="87">
        <v>1009</v>
      </c>
    </row>
    <row r="62" spans="2:6" x14ac:dyDescent="0.3">
      <c r="B62" s="85" t="s">
        <v>269</v>
      </c>
      <c r="C62" s="85" t="s">
        <v>302</v>
      </c>
      <c r="D62" s="86">
        <v>510</v>
      </c>
      <c r="E62" s="86">
        <v>2583</v>
      </c>
      <c r="F62" s="87">
        <v>861</v>
      </c>
    </row>
    <row r="63" spans="2:6" x14ac:dyDescent="0.3">
      <c r="B63" s="85" t="s">
        <v>269</v>
      </c>
      <c r="C63" s="85" t="s">
        <v>303</v>
      </c>
      <c r="D63" s="86">
        <v>257</v>
      </c>
      <c r="E63" s="86">
        <v>1023</v>
      </c>
      <c r="F63" s="87">
        <v>446</v>
      </c>
    </row>
    <row r="64" spans="2:6" x14ac:dyDescent="0.3">
      <c r="B64" s="85" t="s">
        <v>269</v>
      </c>
      <c r="C64" s="85" t="s">
        <v>304</v>
      </c>
      <c r="D64" s="86">
        <v>335</v>
      </c>
      <c r="E64" s="86">
        <v>1225</v>
      </c>
      <c r="F64" s="87">
        <v>520</v>
      </c>
    </row>
    <row r="65" spans="2:6" x14ac:dyDescent="0.3">
      <c r="B65" s="85" t="s">
        <v>269</v>
      </c>
      <c r="C65" s="85" t="s">
        <v>305</v>
      </c>
      <c r="D65" s="86">
        <v>264</v>
      </c>
      <c r="E65" s="86">
        <v>957</v>
      </c>
      <c r="F65" s="87">
        <v>405</v>
      </c>
    </row>
    <row r="66" spans="2:6" x14ac:dyDescent="0.3">
      <c r="B66" s="85" t="s">
        <v>269</v>
      </c>
      <c r="C66" s="85" t="s">
        <v>306</v>
      </c>
      <c r="D66" s="86">
        <v>285</v>
      </c>
      <c r="E66" s="86">
        <v>869</v>
      </c>
      <c r="F66" s="87">
        <v>434</v>
      </c>
    </row>
    <row r="67" spans="2:6" x14ac:dyDescent="0.3">
      <c r="B67" s="85" t="s">
        <v>269</v>
      </c>
      <c r="C67" s="85" t="s">
        <v>307</v>
      </c>
      <c r="D67" s="86">
        <v>550</v>
      </c>
      <c r="E67" s="86">
        <v>2502</v>
      </c>
      <c r="F67" s="87">
        <v>822</v>
      </c>
    </row>
    <row r="68" spans="2:6" x14ac:dyDescent="0.3">
      <c r="B68" s="85" t="s">
        <v>269</v>
      </c>
      <c r="C68" s="85" t="s">
        <v>308</v>
      </c>
      <c r="D68" s="86">
        <v>266</v>
      </c>
      <c r="E68" s="86">
        <v>1382</v>
      </c>
      <c r="F68" s="87">
        <v>501</v>
      </c>
    </row>
    <row r="69" spans="2:6" x14ac:dyDescent="0.3">
      <c r="B69" s="85" t="s">
        <v>269</v>
      </c>
      <c r="C69" s="85" t="s">
        <v>309</v>
      </c>
      <c r="D69" s="86">
        <v>598</v>
      </c>
      <c r="E69" s="86">
        <v>2107</v>
      </c>
      <c r="F69" s="87">
        <v>1002</v>
      </c>
    </row>
    <row r="70" spans="2:6" x14ac:dyDescent="0.3">
      <c r="B70" s="85" t="s">
        <v>269</v>
      </c>
      <c r="C70" s="85" t="s">
        <v>310</v>
      </c>
      <c r="D70" s="86">
        <v>344</v>
      </c>
      <c r="E70" s="86">
        <v>1641</v>
      </c>
      <c r="F70" s="87">
        <v>765</v>
      </c>
    </row>
    <row r="71" spans="2:6" x14ac:dyDescent="0.3">
      <c r="B71" s="85" t="s">
        <v>269</v>
      </c>
      <c r="C71" s="85" t="s">
        <v>311</v>
      </c>
      <c r="D71" s="86">
        <v>183</v>
      </c>
      <c r="E71" s="86">
        <v>867</v>
      </c>
      <c r="F71" s="87">
        <v>384</v>
      </c>
    </row>
    <row r="72" spans="2:6" x14ac:dyDescent="0.3">
      <c r="B72" s="85" t="s">
        <v>269</v>
      </c>
      <c r="C72" s="85" t="s">
        <v>312</v>
      </c>
      <c r="D72" s="86">
        <v>302</v>
      </c>
      <c r="E72" s="86">
        <v>1326</v>
      </c>
      <c r="F72" s="87">
        <v>586</v>
      </c>
    </row>
    <row r="73" spans="2:6" x14ac:dyDescent="0.3">
      <c r="B73" s="85" t="s">
        <v>269</v>
      </c>
      <c r="C73" s="85" t="s">
        <v>313</v>
      </c>
      <c r="D73" s="86">
        <v>177</v>
      </c>
      <c r="E73" s="86">
        <v>823</v>
      </c>
      <c r="F73" s="87">
        <v>548</v>
      </c>
    </row>
    <row r="74" spans="2:6" x14ac:dyDescent="0.3">
      <c r="B74" s="85" t="s">
        <v>269</v>
      </c>
      <c r="C74" s="85" t="s">
        <v>314</v>
      </c>
      <c r="D74" s="86">
        <v>285</v>
      </c>
      <c r="E74" s="86">
        <v>1249</v>
      </c>
      <c r="F74" s="87">
        <v>533</v>
      </c>
    </row>
    <row r="75" spans="2:6" x14ac:dyDescent="0.3">
      <c r="B75" s="85" t="s">
        <v>269</v>
      </c>
      <c r="C75" s="85" t="s">
        <v>315</v>
      </c>
      <c r="D75" s="86">
        <v>236</v>
      </c>
      <c r="E75" s="86">
        <v>1162</v>
      </c>
      <c r="F75" s="87">
        <v>402</v>
      </c>
    </row>
    <row r="76" spans="2:6" x14ac:dyDescent="0.3">
      <c r="B76" s="85" t="s">
        <v>269</v>
      </c>
      <c r="C76" s="85" t="s">
        <v>316</v>
      </c>
      <c r="D76" s="86">
        <v>293</v>
      </c>
      <c r="E76" s="86">
        <v>1016</v>
      </c>
      <c r="F76" s="87">
        <v>585</v>
      </c>
    </row>
    <row r="77" spans="2:6" x14ac:dyDescent="0.3">
      <c r="B77" s="85" t="s">
        <v>269</v>
      </c>
      <c r="C77" s="85" t="s">
        <v>317</v>
      </c>
      <c r="D77" s="86">
        <v>242</v>
      </c>
      <c r="E77" s="86">
        <v>1363</v>
      </c>
      <c r="F77" s="87">
        <v>428</v>
      </c>
    </row>
    <row r="78" spans="2:6" x14ac:dyDescent="0.3">
      <c r="B78" s="85" t="s">
        <v>269</v>
      </c>
      <c r="C78" s="85" t="s">
        <v>318</v>
      </c>
      <c r="D78" s="86">
        <v>248</v>
      </c>
      <c r="E78" s="86">
        <v>1398</v>
      </c>
      <c r="F78" s="87">
        <v>476</v>
      </c>
    </row>
    <row r="79" spans="2:6" x14ac:dyDescent="0.3">
      <c r="B79" s="85" t="s">
        <v>269</v>
      </c>
      <c r="C79" s="85" t="s">
        <v>319</v>
      </c>
      <c r="D79" s="86">
        <v>292</v>
      </c>
      <c r="E79" s="86">
        <v>1380</v>
      </c>
      <c r="F79" s="87">
        <v>456</v>
      </c>
    </row>
    <row r="80" spans="2:6" x14ac:dyDescent="0.3">
      <c r="B80" s="85" t="s">
        <v>269</v>
      </c>
      <c r="C80" s="85" t="s">
        <v>320</v>
      </c>
      <c r="D80" s="86">
        <v>196</v>
      </c>
      <c r="E80" s="86">
        <v>1238</v>
      </c>
      <c r="F80" s="87">
        <v>493</v>
      </c>
    </row>
    <row r="81" spans="2:6" x14ac:dyDescent="0.3">
      <c r="B81" s="85" t="s">
        <v>269</v>
      </c>
      <c r="C81" s="85" t="s">
        <v>321</v>
      </c>
      <c r="D81" s="86">
        <v>432</v>
      </c>
      <c r="E81" s="86">
        <v>1216</v>
      </c>
      <c r="F81" s="87">
        <v>552</v>
      </c>
    </row>
    <row r="82" spans="2:6" x14ac:dyDescent="0.3">
      <c r="B82" s="85" t="s">
        <v>269</v>
      </c>
      <c r="C82" s="85" t="s">
        <v>322</v>
      </c>
      <c r="D82" s="86">
        <v>420</v>
      </c>
      <c r="E82" s="86">
        <v>1581</v>
      </c>
      <c r="F82" s="87">
        <v>525</v>
      </c>
    </row>
    <row r="83" spans="2:6" x14ac:dyDescent="0.3">
      <c r="B83" s="85" t="s">
        <v>269</v>
      </c>
      <c r="C83" s="85" t="s">
        <v>323</v>
      </c>
      <c r="D83" s="86">
        <v>398</v>
      </c>
      <c r="E83" s="86">
        <v>1759</v>
      </c>
      <c r="F83" s="87">
        <v>682</v>
      </c>
    </row>
    <row r="84" spans="2:6" x14ac:dyDescent="0.3">
      <c r="B84" s="85" t="s">
        <v>269</v>
      </c>
      <c r="C84" s="85" t="s">
        <v>324</v>
      </c>
      <c r="D84" s="86">
        <v>128</v>
      </c>
      <c r="E84" s="86">
        <v>791</v>
      </c>
      <c r="F84" s="87">
        <v>242</v>
      </c>
    </row>
    <row r="85" spans="2:6" x14ac:dyDescent="0.3">
      <c r="B85" s="85" t="s">
        <v>269</v>
      </c>
      <c r="C85" s="85" t="s">
        <v>325</v>
      </c>
      <c r="D85" s="86">
        <v>225</v>
      </c>
      <c r="E85" s="86">
        <v>935</v>
      </c>
      <c r="F85" s="87">
        <v>432</v>
      </c>
    </row>
    <row r="86" spans="2:6" x14ac:dyDescent="0.3">
      <c r="B86" s="85" t="s">
        <v>269</v>
      </c>
      <c r="C86" s="85" t="s">
        <v>326</v>
      </c>
      <c r="D86" s="86">
        <v>1358</v>
      </c>
      <c r="E86" s="86">
        <v>2231</v>
      </c>
      <c r="F86" s="87">
        <v>1391</v>
      </c>
    </row>
    <row r="87" spans="2:6" x14ac:dyDescent="0.3">
      <c r="B87" s="85" t="s">
        <v>269</v>
      </c>
      <c r="C87" s="85" t="s">
        <v>327</v>
      </c>
      <c r="D87" s="86">
        <v>1345</v>
      </c>
      <c r="E87" s="86">
        <v>1791</v>
      </c>
      <c r="F87" s="87">
        <v>1460</v>
      </c>
    </row>
    <row r="88" spans="2:6" x14ac:dyDescent="0.3">
      <c r="B88" s="85" t="s">
        <v>269</v>
      </c>
      <c r="C88" s="85" t="s">
        <v>328</v>
      </c>
      <c r="D88" s="86">
        <v>769</v>
      </c>
      <c r="E88" s="86">
        <v>1948</v>
      </c>
      <c r="F88" s="87">
        <v>1011</v>
      </c>
    </row>
    <row r="89" spans="2:6" x14ac:dyDescent="0.3">
      <c r="B89" s="85" t="s">
        <v>269</v>
      </c>
      <c r="C89" s="85" t="s">
        <v>329</v>
      </c>
      <c r="D89" s="86">
        <v>560</v>
      </c>
      <c r="E89" s="86">
        <v>1835</v>
      </c>
      <c r="F89" s="87">
        <v>642</v>
      </c>
    </row>
    <row r="90" spans="2:6" x14ac:dyDescent="0.3">
      <c r="B90" s="85" t="s">
        <v>269</v>
      </c>
      <c r="C90" s="85" t="s">
        <v>330</v>
      </c>
      <c r="D90" s="86">
        <v>836</v>
      </c>
      <c r="E90" s="86">
        <v>2245</v>
      </c>
      <c r="F90" s="87">
        <v>861</v>
      </c>
    </row>
    <row r="91" spans="2:6" x14ac:dyDescent="0.3">
      <c r="B91" s="85" t="s">
        <v>269</v>
      </c>
      <c r="C91" s="85" t="s">
        <v>331</v>
      </c>
      <c r="D91" s="86">
        <v>587</v>
      </c>
      <c r="E91" s="86">
        <v>1471</v>
      </c>
      <c r="F91" s="87">
        <v>623</v>
      </c>
    </row>
    <row r="92" spans="2:6" x14ac:dyDescent="0.3">
      <c r="B92" s="85" t="s">
        <v>269</v>
      </c>
      <c r="C92" s="85" t="s">
        <v>332</v>
      </c>
      <c r="D92" s="86">
        <v>774</v>
      </c>
      <c r="E92" s="86">
        <v>1403</v>
      </c>
      <c r="F92" s="87">
        <v>1085</v>
      </c>
    </row>
    <row r="93" spans="2:6" x14ac:dyDescent="0.3">
      <c r="B93" s="85" t="s">
        <v>269</v>
      </c>
      <c r="C93" s="85" t="s">
        <v>333</v>
      </c>
      <c r="D93" s="86">
        <v>757</v>
      </c>
      <c r="E93" s="86">
        <v>1203</v>
      </c>
      <c r="F93" s="87">
        <v>1175</v>
      </c>
    </row>
    <row r="94" spans="2:6" x14ac:dyDescent="0.3">
      <c r="B94" s="85" t="s">
        <v>269</v>
      </c>
      <c r="C94" s="85" t="s">
        <v>334</v>
      </c>
      <c r="D94" s="86">
        <v>591</v>
      </c>
      <c r="E94" s="86">
        <v>1439</v>
      </c>
      <c r="F94" s="87">
        <v>858</v>
      </c>
    </row>
    <row r="95" spans="2:6" x14ac:dyDescent="0.3">
      <c r="B95" s="85" t="s">
        <v>269</v>
      </c>
      <c r="C95" s="85" t="s">
        <v>335</v>
      </c>
      <c r="D95" s="86">
        <v>457</v>
      </c>
      <c r="E95" s="86">
        <v>1161</v>
      </c>
      <c r="F95" s="87">
        <v>594</v>
      </c>
    </row>
    <row r="96" spans="2:6" x14ac:dyDescent="0.3">
      <c r="B96" s="85" t="s">
        <v>269</v>
      </c>
      <c r="C96" s="85" t="s">
        <v>336</v>
      </c>
      <c r="D96" s="86">
        <v>494</v>
      </c>
      <c r="E96" s="86">
        <v>1585</v>
      </c>
      <c r="F96" s="87">
        <v>705</v>
      </c>
    </row>
    <row r="97" spans="2:6" x14ac:dyDescent="0.3">
      <c r="B97" s="85" t="s">
        <v>269</v>
      </c>
      <c r="C97" s="85" t="s">
        <v>337</v>
      </c>
      <c r="D97" s="86">
        <v>914</v>
      </c>
      <c r="E97" s="86">
        <v>1727</v>
      </c>
      <c r="F97" s="87">
        <v>1308</v>
      </c>
    </row>
    <row r="98" spans="2:6" x14ac:dyDescent="0.3">
      <c r="B98" s="85" t="s">
        <v>269</v>
      </c>
      <c r="C98" s="85" t="s">
        <v>338</v>
      </c>
      <c r="D98" s="86">
        <v>581</v>
      </c>
      <c r="E98" s="86">
        <v>1448</v>
      </c>
      <c r="F98" s="87">
        <v>885</v>
      </c>
    </row>
    <row r="99" spans="2:6" x14ac:dyDescent="0.3">
      <c r="B99" s="85" t="s">
        <v>269</v>
      </c>
      <c r="C99" s="85" t="s">
        <v>339</v>
      </c>
      <c r="D99" s="86">
        <v>31</v>
      </c>
      <c r="E99" s="86">
        <v>0</v>
      </c>
      <c r="F99" s="87">
        <v>78</v>
      </c>
    </row>
    <row r="100" spans="2:6" x14ac:dyDescent="0.3">
      <c r="B100" s="85" t="s">
        <v>269</v>
      </c>
      <c r="C100" s="85" t="s">
        <v>340</v>
      </c>
      <c r="D100" s="86">
        <v>92</v>
      </c>
      <c r="E100" s="86">
        <v>233</v>
      </c>
      <c r="F100" s="87">
        <v>494</v>
      </c>
    </row>
    <row r="101" spans="2:6" x14ac:dyDescent="0.3">
      <c r="B101" s="85" t="s">
        <v>269</v>
      </c>
      <c r="C101" s="85" t="s">
        <v>341</v>
      </c>
      <c r="D101" s="86">
        <v>486</v>
      </c>
      <c r="E101" s="86">
        <v>1176</v>
      </c>
      <c r="F101" s="87">
        <v>400</v>
      </c>
    </row>
    <row r="102" spans="2:6" x14ac:dyDescent="0.3">
      <c r="B102" s="85" t="s">
        <v>269</v>
      </c>
      <c r="C102" s="85" t="s">
        <v>342</v>
      </c>
      <c r="D102" s="86">
        <v>440</v>
      </c>
      <c r="E102" s="86">
        <v>874</v>
      </c>
      <c r="F102" s="87">
        <v>803</v>
      </c>
    </row>
    <row r="103" spans="2:6" x14ac:dyDescent="0.3">
      <c r="B103" s="85" t="s">
        <v>269</v>
      </c>
      <c r="C103" s="85" t="s">
        <v>343</v>
      </c>
      <c r="D103" s="86">
        <v>127</v>
      </c>
      <c r="E103" s="86">
        <v>695</v>
      </c>
      <c r="F103" s="87">
        <v>440</v>
      </c>
    </row>
    <row r="104" spans="2:6" x14ac:dyDescent="0.3">
      <c r="B104" s="85" t="s">
        <v>269</v>
      </c>
      <c r="C104" s="85" t="s">
        <v>344</v>
      </c>
      <c r="D104" s="86">
        <v>257</v>
      </c>
      <c r="E104" s="86">
        <v>1367</v>
      </c>
      <c r="F104" s="87">
        <v>544</v>
      </c>
    </row>
    <row r="105" spans="2:6" x14ac:dyDescent="0.3">
      <c r="B105" s="85" t="s">
        <v>269</v>
      </c>
      <c r="C105" s="85" t="s">
        <v>345</v>
      </c>
      <c r="D105" s="86">
        <v>399</v>
      </c>
      <c r="E105" s="86">
        <v>1238</v>
      </c>
      <c r="F105" s="87">
        <v>622</v>
      </c>
    </row>
    <row r="106" spans="2:6" x14ac:dyDescent="0.3">
      <c r="B106" s="85" t="s">
        <v>269</v>
      </c>
      <c r="C106" s="85" t="s">
        <v>346</v>
      </c>
      <c r="D106" s="86">
        <v>470</v>
      </c>
      <c r="E106" s="86">
        <v>1609</v>
      </c>
      <c r="F106" s="87">
        <v>662</v>
      </c>
    </row>
    <row r="107" spans="2:6" x14ac:dyDescent="0.3">
      <c r="B107" s="85" t="s">
        <v>269</v>
      </c>
      <c r="C107" s="85" t="s">
        <v>347</v>
      </c>
      <c r="D107" s="86">
        <v>651</v>
      </c>
      <c r="E107" s="86">
        <v>2120</v>
      </c>
      <c r="F107" s="87">
        <v>824</v>
      </c>
    </row>
    <row r="108" spans="2:6" x14ac:dyDescent="0.3">
      <c r="B108" s="85" t="s">
        <v>269</v>
      </c>
      <c r="C108" s="85" t="s">
        <v>348</v>
      </c>
      <c r="D108" s="86">
        <v>757</v>
      </c>
      <c r="E108" s="86">
        <v>2498</v>
      </c>
      <c r="F108" s="87">
        <v>846</v>
      </c>
    </row>
    <row r="109" spans="2:6" x14ac:dyDescent="0.3">
      <c r="B109" s="85" t="s">
        <v>269</v>
      </c>
      <c r="C109" s="85" t="s">
        <v>349</v>
      </c>
      <c r="D109" s="86">
        <v>526</v>
      </c>
      <c r="E109" s="86">
        <v>1902</v>
      </c>
      <c r="F109" s="87">
        <v>743</v>
      </c>
    </row>
    <row r="110" spans="2:6" x14ac:dyDescent="0.3">
      <c r="B110" s="85" t="s">
        <v>269</v>
      </c>
      <c r="C110" s="85" t="s">
        <v>350</v>
      </c>
      <c r="D110" s="86">
        <v>196</v>
      </c>
      <c r="E110" s="86">
        <v>994</v>
      </c>
      <c r="F110" s="87">
        <v>477</v>
      </c>
    </row>
    <row r="111" spans="2:6" x14ac:dyDescent="0.3">
      <c r="B111" s="85" t="s">
        <v>269</v>
      </c>
      <c r="C111" s="85" t="s">
        <v>351</v>
      </c>
      <c r="D111" s="86">
        <v>260</v>
      </c>
      <c r="E111" s="86">
        <v>1010</v>
      </c>
      <c r="F111" s="87">
        <v>575</v>
      </c>
    </row>
    <row r="112" spans="2:6" x14ac:dyDescent="0.3">
      <c r="B112" s="85" t="s">
        <v>269</v>
      </c>
      <c r="C112" s="85" t="s">
        <v>352</v>
      </c>
      <c r="D112" s="86">
        <v>192</v>
      </c>
      <c r="E112" s="86">
        <v>899</v>
      </c>
      <c r="F112" s="87">
        <v>369</v>
      </c>
    </row>
    <row r="113" spans="2:6" x14ac:dyDescent="0.3">
      <c r="B113" s="85" t="s">
        <v>269</v>
      </c>
      <c r="C113" s="85" t="s">
        <v>353</v>
      </c>
      <c r="D113" s="86">
        <v>177</v>
      </c>
      <c r="E113" s="86">
        <v>284</v>
      </c>
      <c r="F113" s="87">
        <v>174</v>
      </c>
    </row>
    <row r="114" spans="2:6" x14ac:dyDescent="0.3">
      <c r="B114" s="85" t="s">
        <v>269</v>
      </c>
      <c r="C114" s="85" t="s">
        <v>354</v>
      </c>
      <c r="D114" s="86">
        <v>741</v>
      </c>
      <c r="E114" s="86">
        <v>1781</v>
      </c>
      <c r="F114" s="87">
        <v>1028</v>
      </c>
    </row>
    <row r="115" spans="2:6" x14ac:dyDescent="0.3">
      <c r="B115" s="85" t="s">
        <v>269</v>
      </c>
      <c r="C115" s="85" t="s">
        <v>355</v>
      </c>
      <c r="D115" s="86">
        <v>174</v>
      </c>
      <c r="E115" s="86">
        <v>773</v>
      </c>
      <c r="F115" s="87">
        <v>237</v>
      </c>
    </row>
    <row r="116" spans="2:6" x14ac:dyDescent="0.3">
      <c r="B116" s="85" t="s">
        <v>269</v>
      </c>
      <c r="C116" s="85" t="s">
        <v>356</v>
      </c>
      <c r="D116" s="86">
        <v>94</v>
      </c>
      <c r="E116" s="86">
        <v>769</v>
      </c>
      <c r="F116" s="87">
        <v>228</v>
      </c>
    </row>
    <row r="117" spans="2:6" x14ac:dyDescent="0.3">
      <c r="B117" s="85" t="s">
        <v>269</v>
      </c>
      <c r="C117" s="85" t="s">
        <v>357</v>
      </c>
      <c r="D117" s="86">
        <v>197</v>
      </c>
      <c r="E117" s="86">
        <v>837</v>
      </c>
      <c r="F117" s="87">
        <v>434</v>
      </c>
    </row>
    <row r="118" spans="2:6" x14ac:dyDescent="0.3">
      <c r="B118" s="85" t="s">
        <v>269</v>
      </c>
      <c r="C118" s="85" t="s">
        <v>358</v>
      </c>
      <c r="D118" s="86">
        <v>318</v>
      </c>
      <c r="E118" s="86">
        <v>1120</v>
      </c>
      <c r="F118" s="87">
        <v>444</v>
      </c>
    </row>
    <row r="119" spans="2:6" x14ac:dyDescent="0.3">
      <c r="B119" s="85" t="s">
        <v>269</v>
      </c>
      <c r="C119" s="85" t="s">
        <v>359</v>
      </c>
      <c r="D119" s="86">
        <v>82</v>
      </c>
      <c r="E119" s="86">
        <v>723</v>
      </c>
      <c r="F119" s="87">
        <v>204</v>
      </c>
    </row>
    <row r="120" spans="2:6" x14ac:dyDescent="0.3">
      <c r="B120" s="85" t="s">
        <v>269</v>
      </c>
      <c r="C120" s="85" t="s">
        <v>360</v>
      </c>
      <c r="D120" s="86">
        <v>206</v>
      </c>
      <c r="E120" s="86">
        <v>550</v>
      </c>
      <c r="F120" s="87">
        <v>229</v>
      </c>
    </row>
    <row r="121" spans="2:6" x14ac:dyDescent="0.3">
      <c r="B121" s="85" t="s">
        <v>269</v>
      </c>
      <c r="C121" s="85" t="s">
        <v>361</v>
      </c>
      <c r="D121" s="86">
        <v>390</v>
      </c>
      <c r="E121" s="86">
        <v>1297</v>
      </c>
      <c r="F121" s="87">
        <v>456</v>
      </c>
    </row>
    <row r="122" spans="2:6" x14ac:dyDescent="0.3">
      <c r="B122" s="85" t="s">
        <v>269</v>
      </c>
      <c r="C122" s="85" t="s">
        <v>362</v>
      </c>
      <c r="D122" s="86">
        <v>111</v>
      </c>
      <c r="E122" s="86">
        <v>1160</v>
      </c>
      <c r="F122" s="87">
        <v>282</v>
      </c>
    </row>
    <row r="123" spans="2:6" x14ac:dyDescent="0.3">
      <c r="B123" s="85" t="s">
        <v>269</v>
      </c>
      <c r="C123" s="85" t="s">
        <v>363</v>
      </c>
      <c r="D123" s="86">
        <v>522</v>
      </c>
      <c r="E123" s="86">
        <v>1667</v>
      </c>
      <c r="F123" s="87">
        <v>556</v>
      </c>
    </row>
    <row r="124" spans="2:6" x14ac:dyDescent="0.3">
      <c r="B124" s="85" t="s">
        <v>269</v>
      </c>
      <c r="C124" s="85" t="s">
        <v>364</v>
      </c>
      <c r="D124" s="86">
        <v>278</v>
      </c>
      <c r="E124" s="86">
        <v>1091</v>
      </c>
      <c r="F124" s="87">
        <v>505</v>
      </c>
    </row>
    <row r="125" spans="2:6" x14ac:dyDescent="0.3">
      <c r="B125" s="85" t="s">
        <v>269</v>
      </c>
      <c r="C125" s="85" t="s">
        <v>365</v>
      </c>
      <c r="D125" s="86">
        <v>0</v>
      </c>
      <c r="E125" s="86">
        <v>0</v>
      </c>
      <c r="F125" s="87">
        <v>0</v>
      </c>
    </row>
    <row r="126" spans="2:6" x14ac:dyDescent="0.3">
      <c r="B126" s="85" t="s">
        <v>269</v>
      </c>
      <c r="C126" s="85" t="s">
        <v>366</v>
      </c>
      <c r="D126" s="86">
        <v>120</v>
      </c>
      <c r="E126" s="86">
        <v>1335</v>
      </c>
      <c r="F126" s="87">
        <v>289</v>
      </c>
    </row>
    <row r="127" spans="2:6" x14ac:dyDescent="0.3">
      <c r="B127" s="85" t="s">
        <v>269</v>
      </c>
      <c r="C127" s="85" t="s">
        <v>367</v>
      </c>
      <c r="D127" s="86">
        <v>316</v>
      </c>
      <c r="E127" s="86">
        <v>1028</v>
      </c>
      <c r="F127" s="87">
        <v>505</v>
      </c>
    </row>
    <row r="128" spans="2:6" x14ac:dyDescent="0.3">
      <c r="B128" s="85" t="s">
        <v>269</v>
      </c>
      <c r="C128" s="85" t="s">
        <v>368</v>
      </c>
      <c r="D128" s="86">
        <v>446</v>
      </c>
      <c r="E128" s="86">
        <v>1763</v>
      </c>
      <c r="F128" s="87">
        <v>527</v>
      </c>
    </row>
    <row r="129" spans="2:6" x14ac:dyDescent="0.3">
      <c r="B129" s="85" t="s">
        <v>269</v>
      </c>
      <c r="C129" s="85" t="s">
        <v>369</v>
      </c>
      <c r="D129" s="86">
        <v>0</v>
      </c>
      <c r="E129" s="86">
        <v>0</v>
      </c>
      <c r="F129" s="87">
        <v>0</v>
      </c>
    </row>
    <row r="130" spans="2:6" x14ac:dyDescent="0.3">
      <c r="B130" s="85" t="s">
        <v>269</v>
      </c>
      <c r="C130" s="85" t="s">
        <v>370</v>
      </c>
      <c r="D130" s="86">
        <v>254</v>
      </c>
      <c r="E130" s="86">
        <v>642</v>
      </c>
      <c r="F130" s="87">
        <v>308</v>
      </c>
    </row>
    <row r="131" spans="2:6" x14ac:dyDescent="0.3">
      <c r="B131" s="85" t="s">
        <v>269</v>
      </c>
      <c r="C131" s="85" t="s">
        <v>371</v>
      </c>
      <c r="D131" s="86">
        <v>157</v>
      </c>
      <c r="E131" s="86">
        <v>440</v>
      </c>
      <c r="F131" s="87">
        <v>436</v>
      </c>
    </row>
    <row r="132" spans="2:6" x14ac:dyDescent="0.3">
      <c r="B132" s="85" t="s">
        <v>269</v>
      </c>
      <c r="C132" s="85" t="s">
        <v>372</v>
      </c>
      <c r="D132" s="86">
        <v>788</v>
      </c>
      <c r="E132" s="86">
        <v>988</v>
      </c>
      <c r="F132" s="87">
        <v>673</v>
      </c>
    </row>
    <row r="133" spans="2:6" x14ac:dyDescent="0.3">
      <c r="B133" s="85" t="s">
        <v>269</v>
      </c>
      <c r="C133" s="85" t="s">
        <v>373</v>
      </c>
      <c r="D133" s="86">
        <v>398</v>
      </c>
      <c r="E133" s="86">
        <v>454</v>
      </c>
      <c r="F133" s="87">
        <v>333</v>
      </c>
    </row>
    <row r="134" spans="2:6" x14ac:dyDescent="0.3">
      <c r="B134" s="85" t="s">
        <v>269</v>
      </c>
      <c r="C134" s="85" t="s">
        <v>374</v>
      </c>
      <c r="D134" s="86">
        <v>796</v>
      </c>
      <c r="E134" s="86">
        <v>912</v>
      </c>
      <c r="F134" s="87">
        <v>687</v>
      </c>
    </row>
    <row r="135" spans="2:6" x14ac:dyDescent="0.3">
      <c r="B135" s="85" t="s">
        <v>269</v>
      </c>
      <c r="C135" s="85" t="s">
        <v>375</v>
      </c>
      <c r="D135" s="86">
        <v>633</v>
      </c>
      <c r="E135" s="86">
        <v>1349</v>
      </c>
      <c r="F135" s="87">
        <v>564</v>
      </c>
    </row>
    <row r="136" spans="2:6" x14ac:dyDescent="0.3">
      <c r="B136" s="85" t="s">
        <v>269</v>
      </c>
      <c r="C136" s="85" t="s">
        <v>376</v>
      </c>
      <c r="D136" s="86">
        <v>1018</v>
      </c>
      <c r="E136" s="86">
        <v>1622</v>
      </c>
      <c r="F136" s="87">
        <v>826</v>
      </c>
    </row>
    <row r="137" spans="2:6" x14ac:dyDescent="0.3">
      <c r="B137" s="85" t="s">
        <v>269</v>
      </c>
      <c r="C137" s="85" t="s">
        <v>377</v>
      </c>
      <c r="D137" s="86">
        <v>356</v>
      </c>
      <c r="E137" s="86">
        <v>429</v>
      </c>
      <c r="F137" s="87">
        <v>621</v>
      </c>
    </row>
    <row r="138" spans="2:6" x14ac:dyDescent="0.3">
      <c r="B138" s="85" t="s">
        <v>269</v>
      </c>
      <c r="C138" s="85" t="s">
        <v>378</v>
      </c>
      <c r="D138" s="86">
        <v>1173</v>
      </c>
      <c r="E138" s="86">
        <v>1342</v>
      </c>
      <c r="F138" s="87">
        <v>605</v>
      </c>
    </row>
    <row r="139" spans="2:6" x14ac:dyDescent="0.3">
      <c r="B139" s="85" t="s">
        <v>269</v>
      </c>
      <c r="C139" s="85" t="s">
        <v>379</v>
      </c>
      <c r="D139" s="86">
        <v>729</v>
      </c>
      <c r="E139" s="86">
        <v>1085</v>
      </c>
      <c r="F139" s="87">
        <v>838</v>
      </c>
    </row>
    <row r="140" spans="2:6" x14ac:dyDescent="0.3">
      <c r="B140" s="85" t="s">
        <v>269</v>
      </c>
      <c r="C140" s="85" t="s">
        <v>380</v>
      </c>
      <c r="D140" s="86">
        <v>935</v>
      </c>
      <c r="E140" s="86">
        <v>1436</v>
      </c>
      <c r="F140" s="87">
        <v>1237</v>
      </c>
    </row>
    <row r="141" spans="2:6" x14ac:dyDescent="0.3">
      <c r="B141" s="85" t="s">
        <v>269</v>
      </c>
      <c r="C141" s="85" t="s">
        <v>381</v>
      </c>
      <c r="D141" s="86">
        <v>930</v>
      </c>
      <c r="E141" s="86">
        <v>1328</v>
      </c>
      <c r="F141" s="87">
        <v>1024</v>
      </c>
    </row>
    <row r="142" spans="2:6" x14ac:dyDescent="0.3">
      <c r="B142" s="85" t="s">
        <v>269</v>
      </c>
      <c r="C142" s="85" t="s">
        <v>382</v>
      </c>
      <c r="D142" s="86">
        <v>1207</v>
      </c>
      <c r="E142" s="86">
        <v>1863</v>
      </c>
      <c r="F142" s="87">
        <v>1375</v>
      </c>
    </row>
    <row r="143" spans="2:6" x14ac:dyDescent="0.3">
      <c r="B143" s="85" t="s">
        <v>269</v>
      </c>
      <c r="C143" s="85" t="s">
        <v>383</v>
      </c>
      <c r="D143" s="86">
        <v>1089</v>
      </c>
      <c r="E143" s="86">
        <v>1554</v>
      </c>
      <c r="F143" s="87">
        <v>945</v>
      </c>
    </row>
    <row r="144" spans="2:6" x14ac:dyDescent="0.3">
      <c r="B144" s="85" t="s">
        <v>269</v>
      </c>
      <c r="C144" s="85" t="s">
        <v>384</v>
      </c>
      <c r="D144" s="86">
        <v>1179</v>
      </c>
      <c r="E144" s="86">
        <v>1541</v>
      </c>
      <c r="F144" s="87">
        <v>1136</v>
      </c>
    </row>
    <row r="145" spans="2:6" x14ac:dyDescent="0.3">
      <c r="B145" s="85" t="s">
        <v>269</v>
      </c>
      <c r="C145" s="85" t="s">
        <v>385</v>
      </c>
      <c r="D145" s="86">
        <v>646</v>
      </c>
      <c r="E145" s="86">
        <v>1144</v>
      </c>
      <c r="F145" s="87">
        <v>1027</v>
      </c>
    </row>
    <row r="146" spans="2:6" x14ac:dyDescent="0.3">
      <c r="B146" s="85" t="s">
        <v>269</v>
      </c>
      <c r="C146" s="85" t="s">
        <v>386</v>
      </c>
      <c r="D146" s="86">
        <v>689</v>
      </c>
      <c r="E146" s="86">
        <v>1352</v>
      </c>
      <c r="F146" s="87">
        <v>777</v>
      </c>
    </row>
    <row r="147" spans="2:6" x14ac:dyDescent="0.3">
      <c r="B147" s="85" t="s">
        <v>269</v>
      </c>
      <c r="C147" s="85" t="s">
        <v>387</v>
      </c>
      <c r="D147" s="86">
        <v>92</v>
      </c>
      <c r="E147" s="86">
        <v>1393</v>
      </c>
      <c r="F147" s="87">
        <v>295</v>
      </c>
    </row>
    <row r="148" spans="2:6" x14ac:dyDescent="0.3">
      <c r="B148" s="85" t="s">
        <v>269</v>
      </c>
      <c r="C148" s="85" t="s">
        <v>388</v>
      </c>
      <c r="D148" s="86">
        <v>361</v>
      </c>
      <c r="E148" s="86">
        <v>4109</v>
      </c>
      <c r="F148" s="87">
        <v>761</v>
      </c>
    </row>
    <row r="149" spans="2:6" x14ac:dyDescent="0.3">
      <c r="B149" s="85" t="s">
        <v>269</v>
      </c>
      <c r="C149" s="85" t="s">
        <v>389</v>
      </c>
      <c r="D149" s="86">
        <v>148</v>
      </c>
      <c r="E149" s="86">
        <v>1510</v>
      </c>
      <c r="F149" s="87">
        <v>300</v>
      </c>
    </row>
    <row r="150" spans="2:6" x14ac:dyDescent="0.3">
      <c r="B150" s="85" t="s">
        <v>269</v>
      </c>
      <c r="C150" s="85" t="s">
        <v>390</v>
      </c>
      <c r="D150" s="86">
        <v>367</v>
      </c>
      <c r="E150" s="86">
        <v>1942</v>
      </c>
      <c r="F150" s="87">
        <v>817</v>
      </c>
    </row>
    <row r="151" spans="2:6" x14ac:dyDescent="0.3">
      <c r="B151" s="85" t="s">
        <v>269</v>
      </c>
      <c r="C151" s="85" t="s">
        <v>391</v>
      </c>
      <c r="D151" s="86">
        <v>96</v>
      </c>
      <c r="E151" s="86">
        <v>249</v>
      </c>
      <c r="F151" s="87">
        <v>191</v>
      </c>
    </row>
    <row r="152" spans="2:6" x14ac:dyDescent="0.3">
      <c r="B152" s="85" t="s">
        <v>269</v>
      </c>
      <c r="C152" s="85" t="s">
        <v>392</v>
      </c>
      <c r="D152" s="86">
        <v>104</v>
      </c>
      <c r="E152" s="86">
        <v>281</v>
      </c>
      <c r="F152" s="87">
        <v>241</v>
      </c>
    </row>
    <row r="153" spans="2:6" x14ac:dyDescent="0.3">
      <c r="B153" s="85" t="s">
        <v>269</v>
      </c>
      <c r="C153" s="85" t="s">
        <v>393</v>
      </c>
      <c r="D153" s="86">
        <v>152</v>
      </c>
      <c r="E153" s="86">
        <v>225</v>
      </c>
      <c r="F153" s="87">
        <v>215</v>
      </c>
    </row>
    <row r="154" spans="2:6" x14ac:dyDescent="0.3">
      <c r="B154" s="85" t="s">
        <v>269</v>
      </c>
      <c r="C154" s="85" t="s">
        <v>394</v>
      </c>
      <c r="D154" s="86">
        <v>661</v>
      </c>
      <c r="E154" s="86">
        <v>1509</v>
      </c>
      <c r="F154" s="87">
        <v>818</v>
      </c>
    </row>
    <row r="155" spans="2:6" x14ac:dyDescent="0.3">
      <c r="B155" s="85" t="s">
        <v>269</v>
      </c>
      <c r="C155" s="85" t="s">
        <v>395</v>
      </c>
      <c r="D155" s="86">
        <v>417</v>
      </c>
      <c r="E155" s="86">
        <v>591</v>
      </c>
      <c r="F155" s="87">
        <v>414</v>
      </c>
    </row>
    <row r="156" spans="2:6" x14ac:dyDescent="0.3">
      <c r="B156" s="85" t="s">
        <v>269</v>
      </c>
      <c r="C156" s="85" t="s">
        <v>396</v>
      </c>
      <c r="D156" s="86">
        <v>588</v>
      </c>
      <c r="E156" s="86">
        <v>1036</v>
      </c>
      <c r="F156" s="87">
        <v>725</v>
      </c>
    </row>
    <row r="157" spans="2:6" x14ac:dyDescent="0.3">
      <c r="B157" s="85" t="s">
        <v>269</v>
      </c>
      <c r="C157" s="85" t="s">
        <v>397</v>
      </c>
      <c r="D157" s="86">
        <v>99</v>
      </c>
      <c r="E157" s="86">
        <v>566</v>
      </c>
      <c r="F157" s="87">
        <v>200</v>
      </c>
    </row>
    <row r="158" spans="2:6" x14ac:dyDescent="0.3">
      <c r="B158" s="85" t="s">
        <v>269</v>
      </c>
      <c r="C158" s="85" t="s">
        <v>398</v>
      </c>
      <c r="D158" s="86">
        <v>1113</v>
      </c>
      <c r="E158" s="86">
        <v>1539</v>
      </c>
      <c r="F158" s="87">
        <v>1209</v>
      </c>
    </row>
    <row r="159" spans="2:6" x14ac:dyDescent="0.3">
      <c r="B159" s="85" t="s">
        <v>269</v>
      </c>
      <c r="C159" s="85" t="s">
        <v>399</v>
      </c>
      <c r="D159" s="86">
        <v>1462</v>
      </c>
      <c r="E159" s="86">
        <v>1993</v>
      </c>
      <c r="F159" s="87">
        <v>1444</v>
      </c>
    </row>
    <row r="160" spans="2:6" x14ac:dyDescent="0.3">
      <c r="B160" s="85" t="s">
        <v>269</v>
      </c>
      <c r="C160" s="85" t="s">
        <v>400</v>
      </c>
      <c r="D160" s="86">
        <v>1094</v>
      </c>
      <c r="E160" s="86">
        <v>1924</v>
      </c>
      <c r="F160" s="87">
        <v>1466</v>
      </c>
    </row>
    <row r="161" spans="2:6" x14ac:dyDescent="0.3">
      <c r="B161" s="85" t="s">
        <v>269</v>
      </c>
      <c r="C161" s="85" t="s">
        <v>401</v>
      </c>
      <c r="D161" s="86">
        <v>924</v>
      </c>
      <c r="E161" s="86">
        <v>1799</v>
      </c>
      <c r="F161" s="87">
        <v>1269</v>
      </c>
    </row>
    <row r="162" spans="2:6" x14ac:dyDescent="0.3">
      <c r="B162" s="85" t="s">
        <v>269</v>
      </c>
      <c r="C162" s="85" t="s">
        <v>402</v>
      </c>
      <c r="D162" s="86">
        <v>0</v>
      </c>
      <c r="E162" s="86">
        <v>0</v>
      </c>
      <c r="F162" s="87">
        <v>0</v>
      </c>
    </row>
    <row r="163" spans="2:6" x14ac:dyDescent="0.3">
      <c r="B163" s="85" t="s">
        <v>269</v>
      </c>
      <c r="C163" s="85" t="s">
        <v>403</v>
      </c>
      <c r="D163" s="86">
        <v>296</v>
      </c>
      <c r="E163" s="86">
        <v>443</v>
      </c>
      <c r="F163" s="87">
        <v>157</v>
      </c>
    </row>
    <row r="164" spans="2:6" x14ac:dyDescent="0.3">
      <c r="B164" s="85" t="s">
        <v>269</v>
      </c>
      <c r="C164" s="85" t="s">
        <v>404</v>
      </c>
      <c r="D164" s="86">
        <v>858</v>
      </c>
      <c r="E164" s="86">
        <v>1562</v>
      </c>
      <c r="F164" s="87">
        <v>832</v>
      </c>
    </row>
    <row r="165" spans="2:6" x14ac:dyDescent="0.3">
      <c r="B165" s="85" t="s">
        <v>269</v>
      </c>
      <c r="C165" s="85" t="s">
        <v>405</v>
      </c>
      <c r="D165" s="86">
        <v>487</v>
      </c>
      <c r="E165" s="86">
        <v>821</v>
      </c>
      <c r="F165" s="87">
        <v>556</v>
      </c>
    </row>
    <row r="166" spans="2:6" x14ac:dyDescent="0.3">
      <c r="B166" s="85" t="s">
        <v>269</v>
      </c>
      <c r="C166" s="85" t="s">
        <v>406</v>
      </c>
      <c r="D166" s="86">
        <v>985</v>
      </c>
      <c r="E166" s="86">
        <v>2100</v>
      </c>
      <c r="F166" s="87">
        <v>1402</v>
      </c>
    </row>
    <row r="167" spans="2:6" x14ac:dyDescent="0.3">
      <c r="B167" s="85" t="s">
        <v>269</v>
      </c>
      <c r="C167" s="85" t="s">
        <v>407</v>
      </c>
      <c r="D167" s="86">
        <v>430</v>
      </c>
      <c r="E167" s="86">
        <v>976</v>
      </c>
      <c r="F167" s="87">
        <v>616</v>
      </c>
    </row>
    <row r="168" spans="2:6" x14ac:dyDescent="0.3">
      <c r="B168" s="85" t="s">
        <v>269</v>
      </c>
      <c r="C168" s="85" t="s">
        <v>408</v>
      </c>
      <c r="D168" s="86">
        <v>11</v>
      </c>
      <c r="E168" s="86">
        <v>4</v>
      </c>
      <c r="F168" s="87">
        <v>351</v>
      </c>
    </row>
    <row r="169" spans="2:6" x14ac:dyDescent="0.3">
      <c r="B169" s="85" t="s">
        <v>269</v>
      </c>
      <c r="C169" s="85" t="s">
        <v>409</v>
      </c>
      <c r="D169" s="86">
        <v>370</v>
      </c>
      <c r="E169" s="86">
        <v>480</v>
      </c>
      <c r="F169" s="87">
        <v>398</v>
      </c>
    </row>
    <row r="170" spans="2:6" x14ac:dyDescent="0.3">
      <c r="B170" s="85" t="s">
        <v>269</v>
      </c>
      <c r="C170" s="85" t="s">
        <v>410</v>
      </c>
      <c r="D170" s="86">
        <v>778</v>
      </c>
      <c r="E170" s="86">
        <v>1343</v>
      </c>
      <c r="F170" s="87">
        <v>1071</v>
      </c>
    </row>
    <row r="171" spans="2:6" x14ac:dyDescent="0.3">
      <c r="B171" s="85" t="s">
        <v>269</v>
      </c>
      <c r="C171" s="85" t="s">
        <v>411</v>
      </c>
      <c r="D171" s="86">
        <v>783</v>
      </c>
      <c r="E171" s="86">
        <v>1429</v>
      </c>
      <c r="F171" s="87">
        <v>1018</v>
      </c>
    </row>
    <row r="172" spans="2:6" x14ac:dyDescent="0.3">
      <c r="B172" s="85" t="s">
        <v>269</v>
      </c>
      <c r="C172" s="85" t="s">
        <v>412</v>
      </c>
      <c r="D172" s="86">
        <v>1376</v>
      </c>
      <c r="E172" s="86">
        <v>2314</v>
      </c>
      <c r="F172" s="87">
        <v>1440</v>
      </c>
    </row>
    <row r="173" spans="2:6" x14ac:dyDescent="0.3">
      <c r="B173" s="85" t="s">
        <v>269</v>
      </c>
      <c r="C173" s="85" t="s">
        <v>413</v>
      </c>
      <c r="D173" s="86">
        <v>717</v>
      </c>
      <c r="E173" s="86">
        <v>1732</v>
      </c>
      <c r="F173" s="87">
        <v>1623</v>
      </c>
    </row>
    <row r="174" spans="2:6" x14ac:dyDescent="0.3">
      <c r="B174" s="85" t="s">
        <v>269</v>
      </c>
      <c r="C174" s="85" t="s">
        <v>414</v>
      </c>
      <c r="D174" s="86">
        <v>301</v>
      </c>
      <c r="E174" s="86">
        <v>720</v>
      </c>
      <c r="F174" s="87">
        <v>629</v>
      </c>
    </row>
    <row r="175" spans="2:6" x14ac:dyDescent="0.3">
      <c r="B175" s="85" t="s">
        <v>269</v>
      </c>
      <c r="C175" s="85" t="s">
        <v>415</v>
      </c>
      <c r="D175" s="86">
        <v>179</v>
      </c>
      <c r="E175" s="86">
        <v>303</v>
      </c>
      <c r="F175" s="87">
        <v>258</v>
      </c>
    </row>
    <row r="176" spans="2:6" x14ac:dyDescent="0.3">
      <c r="B176" s="85" t="s">
        <v>269</v>
      </c>
      <c r="C176" s="85" t="s">
        <v>416</v>
      </c>
      <c r="D176" s="86">
        <v>919</v>
      </c>
      <c r="E176" s="86">
        <v>1445</v>
      </c>
      <c r="F176" s="87">
        <v>1250</v>
      </c>
    </row>
    <row r="177" spans="2:6" x14ac:dyDescent="0.3">
      <c r="B177" s="85" t="s">
        <v>269</v>
      </c>
      <c r="C177" s="85" t="s">
        <v>417</v>
      </c>
      <c r="D177" s="86">
        <v>396</v>
      </c>
      <c r="E177" s="86">
        <v>704</v>
      </c>
      <c r="F177" s="87">
        <v>712</v>
      </c>
    </row>
    <row r="178" spans="2:6" x14ac:dyDescent="0.3">
      <c r="B178" s="85" t="s">
        <v>269</v>
      </c>
      <c r="C178" s="85" t="s">
        <v>418</v>
      </c>
      <c r="D178" s="86">
        <v>387</v>
      </c>
      <c r="E178" s="86">
        <v>735</v>
      </c>
      <c r="F178" s="87">
        <v>677</v>
      </c>
    </row>
    <row r="179" spans="2:6" x14ac:dyDescent="0.3">
      <c r="B179" s="85" t="s">
        <v>269</v>
      </c>
      <c r="C179" s="85" t="s">
        <v>419</v>
      </c>
      <c r="D179" s="86">
        <v>869</v>
      </c>
      <c r="E179" s="86">
        <v>1267</v>
      </c>
      <c r="F179" s="87">
        <v>801</v>
      </c>
    </row>
    <row r="180" spans="2:6" x14ac:dyDescent="0.3">
      <c r="B180" s="85" t="s">
        <v>269</v>
      </c>
      <c r="C180" s="85" t="s">
        <v>420</v>
      </c>
      <c r="D180" s="86">
        <v>1500</v>
      </c>
      <c r="E180" s="86">
        <v>2104</v>
      </c>
      <c r="F180" s="87">
        <v>1570</v>
      </c>
    </row>
    <row r="181" spans="2:6" x14ac:dyDescent="0.3">
      <c r="B181" s="85" t="s">
        <v>269</v>
      </c>
      <c r="C181" s="85" t="s">
        <v>421</v>
      </c>
      <c r="D181" s="86">
        <v>1064</v>
      </c>
      <c r="E181" s="86">
        <v>1509</v>
      </c>
      <c r="F181" s="87">
        <v>1126</v>
      </c>
    </row>
    <row r="182" spans="2:6" x14ac:dyDescent="0.3">
      <c r="B182" s="85" t="s">
        <v>269</v>
      </c>
      <c r="C182" s="85" t="s">
        <v>422</v>
      </c>
      <c r="D182" s="86">
        <v>1272</v>
      </c>
      <c r="E182" s="86">
        <v>2058</v>
      </c>
      <c r="F182" s="87">
        <v>1702</v>
      </c>
    </row>
    <row r="183" spans="2:6" x14ac:dyDescent="0.3">
      <c r="B183" s="85" t="s">
        <v>269</v>
      </c>
      <c r="C183" s="85" t="s">
        <v>423</v>
      </c>
      <c r="D183" s="86">
        <v>916</v>
      </c>
      <c r="E183" s="86">
        <v>1326</v>
      </c>
      <c r="F183" s="87">
        <v>840</v>
      </c>
    </row>
    <row r="184" spans="2:6" x14ac:dyDescent="0.3">
      <c r="B184" s="85" t="s">
        <v>269</v>
      </c>
      <c r="C184" s="85" t="s">
        <v>424</v>
      </c>
      <c r="D184" s="86">
        <v>877</v>
      </c>
      <c r="E184" s="86">
        <v>1498</v>
      </c>
      <c r="F184" s="87">
        <v>1274</v>
      </c>
    </row>
    <row r="185" spans="2:6" x14ac:dyDescent="0.3">
      <c r="B185" s="85" t="s">
        <v>269</v>
      </c>
      <c r="C185" s="85" t="s">
        <v>425</v>
      </c>
      <c r="D185" s="86">
        <v>716</v>
      </c>
      <c r="E185" s="86">
        <v>1119</v>
      </c>
      <c r="F185" s="87">
        <v>837</v>
      </c>
    </row>
    <row r="186" spans="2:6" x14ac:dyDescent="0.3">
      <c r="B186" s="85" t="s">
        <v>269</v>
      </c>
      <c r="C186" s="85" t="s">
        <v>426</v>
      </c>
      <c r="D186" s="86">
        <v>772</v>
      </c>
      <c r="E186" s="86">
        <v>1410</v>
      </c>
      <c r="F186" s="87">
        <v>1199</v>
      </c>
    </row>
    <row r="187" spans="2:6" x14ac:dyDescent="0.3">
      <c r="B187" s="85" t="s">
        <v>269</v>
      </c>
      <c r="C187" s="85" t="s">
        <v>427</v>
      </c>
      <c r="D187" s="86">
        <v>1190</v>
      </c>
      <c r="E187" s="86">
        <v>1969</v>
      </c>
      <c r="F187" s="87">
        <v>1597</v>
      </c>
    </row>
  </sheetData>
  <mergeCells count="1">
    <mergeCell ref="D28:F2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C519A-7C77-42EF-9F1B-FDC7EE5BA218}">
  <sheetPr codeName="Sheet19"/>
  <dimension ref="A6:H26"/>
  <sheetViews>
    <sheetView workbookViewId="0">
      <selection activeCell="H22" sqref="H22"/>
    </sheetView>
  </sheetViews>
  <sheetFormatPr defaultRowHeight="14.4" x14ac:dyDescent="0.3"/>
  <sheetData>
    <row r="6" spans="2:5" x14ac:dyDescent="0.3">
      <c r="B6" s="65" t="s">
        <v>428</v>
      </c>
      <c r="C6" s="65" t="s">
        <v>429</v>
      </c>
      <c r="D6" s="65" t="s">
        <v>430</v>
      </c>
      <c r="E6" s="65" t="s">
        <v>431</v>
      </c>
    </row>
    <row r="7" spans="2:5" x14ac:dyDescent="0.3">
      <c r="B7" s="66">
        <v>1</v>
      </c>
      <c r="C7" s="88">
        <v>8000</v>
      </c>
      <c r="D7" s="66" t="s">
        <v>432</v>
      </c>
      <c r="E7" s="66">
        <v>10</v>
      </c>
    </row>
    <row r="8" spans="2:5" x14ac:dyDescent="0.3">
      <c r="B8" s="66">
        <v>2</v>
      </c>
      <c r="C8" s="88">
        <v>11000</v>
      </c>
      <c r="D8" s="66" t="s">
        <v>432</v>
      </c>
      <c r="E8" s="66">
        <v>9</v>
      </c>
    </row>
    <row r="9" spans="2:5" x14ac:dyDescent="0.3">
      <c r="B9" s="66">
        <v>3</v>
      </c>
      <c r="C9" s="88">
        <v>6000</v>
      </c>
      <c r="D9" s="66" t="s">
        <v>433</v>
      </c>
      <c r="E9" s="66">
        <v>5</v>
      </c>
    </row>
    <row r="10" spans="2:5" x14ac:dyDescent="0.3">
      <c r="B10" s="66">
        <v>4</v>
      </c>
      <c r="C10" s="88">
        <v>15000</v>
      </c>
      <c r="D10" s="66" t="s">
        <v>432</v>
      </c>
      <c r="E10" s="66">
        <v>10</v>
      </c>
    </row>
    <row r="11" spans="2:5" x14ac:dyDescent="0.3">
      <c r="B11" s="66">
        <v>5</v>
      </c>
      <c r="C11" s="88">
        <v>10000</v>
      </c>
      <c r="D11" s="66" t="s">
        <v>433</v>
      </c>
      <c r="E11" s="66">
        <v>2</v>
      </c>
    </row>
    <row r="12" spans="2:5" x14ac:dyDescent="0.3">
      <c r="B12" s="66">
        <v>6</v>
      </c>
      <c r="C12" s="88">
        <v>15000</v>
      </c>
      <c r="D12" s="66" t="s">
        <v>432</v>
      </c>
      <c r="E12" s="66">
        <v>5</v>
      </c>
    </row>
    <row r="13" spans="2:5" x14ac:dyDescent="0.3">
      <c r="B13" s="66">
        <v>7</v>
      </c>
      <c r="C13" s="88">
        <v>13000</v>
      </c>
      <c r="D13" s="66" t="s">
        <v>432</v>
      </c>
      <c r="E13" s="66">
        <v>999</v>
      </c>
    </row>
    <row r="14" spans="2:5" x14ac:dyDescent="0.3">
      <c r="B14" s="66">
        <v>8</v>
      </c>
      <c r="C14" s="88">
        <v>8000</v>
      </c>
      <c r="D14" s="66" t="s">
        <v>432</v>
      </c>
      <c r="E14" s="66">
        <v>2</v>
      </c>
    </row>
    <row r="15" spans="2:5" x14ac:dyDescent="0.3">
      <c r="B15" s="66">
        <v>9</v>
      </c>
      <c r="C15" s="88">
        <v>11000</v>
      </c>
      <c r="D15" s="66" t="s">
        <v>433</v>
      </c>
      <c r="E15" s="66">
        <v>5</v>
      </c>
    </row>
    <row r="16" spans="2:5" x14ac:dyDescent="0.3">
      <c r="B16" s="66">
        <v>10</v>
      </c>
      <c r="C16" s="88">
        <v>9000</v>
      </c>
      <c r="D16" s="66" t="s">
        <v>432</v>
      </c>
      <c r="E16" s="66">
        <v>6</v>
      </c>
    </row>
    <row r="19" spans="1:8" ht="15" thickBot="1" x14ac:dyDescent="0.35">
      <c r="B19" s="89" t="s">
        <v>434</v>
      </c>
    </row>
    <row r="20" spans="1:8" ht="15" thickBot="1" x14ac:dyDescent="0.35">
      <c r="A20">
        <v>1</v>
      </c>
      <c r="B20" t="s">
        <v>435</v>
      </c>
      <c r="H20" s="90">
        <f>SUMIF(D7:D16,D7,C7:C16)</f>
        <v>79000</v>
      </c>
    </row>
    <row r="21" spans="1:8" ht="15" thickBot="1" x14ac:dyDescent="0.35">
      <c r="A21">
        <v>2</v>
      </c>
      <c r="B21" t="s">
        <v>436</v>
      </c>
      <c r="H21" s="90">
        <f>SUMIF(D7:D16,D9,C7:C16)</f>
        <v>27000</v>
      </c>
    </row>
    <row r="22" spans="1:8" ht="15" thickBot="1" x14ac:dyDescent="0.35"/>
    <row r="23" spans="1:8" ht="15" thickBot="1" x14ac:dyDescent="0.35">
      <c r="A23">
        <v>3</v>
      </c>
      <c r="B23" t="s">
        <v>437</v>
      </c>
      <c r="H23" s="90">
        <f ca="1">SUMIF(C6:C16,"&gt;10000",E7:E16)</f>
        <v>1014</v>
      </c>
    </row>
    <row r="24" spans="1:8" ht="15" thickBot="1" x14ac:dyDescent="0.35"/>
    <row r="25" spans="1:8" ht="15" thickBot="1" x14ac:dyDescent="0.35">
      <c r="A25">
        <v>4</v>
      </c>
      <c r="B25" t="s">
        <v>438</v>
      </c>
      <c r="H25" s="90">
        <f>SUMIF(C7:C16,"&gt;=10000",C7:C16)</f>
        <v>75000</v>
      </c>
    </row>
    <row r="26" spans="1:8" ht="15" thickBot="1" x14ac:dyDescent="0.35">
      <c r="A26">
        <v>5</v>
      </c>
      <c r="B26" t="s">
        <v>439</v>
      </c>
      <c r="H26" s="90">
        <f ca="1">SUMIF(C6:C16,"&lt;=9500",C7:C16)</f>
        <v>37000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5256-CB64-40A7-8AC3-7732A0F1FAF4}">
  <sheetPr codeName="Sheet20"/>
  <dimension ref="A8:K55"/>
  <sheetViews>
    <sheetView workbookViewId="0">
      <selection activeCell="G15" sqref="G15"/>
    </sheetView>
  </sheetViews>
  <sheetFormatPr defaultRowHeight="14.4" x14ac:dyDescent="0.3"/>
  <sheetData>
    <row r="8" spans="1:11" x14ac:dyDescent="0.3">
      <c r="A8" s="91"/>
      <c r="B8" s="92" t="s">
        <v>440</v>
      </c>
      <c r="C8" s="91"/>
      <c r="D8" s="91"/>
      <c r="E8" s="91"/>
      <c r="F8" s="91"/>
      <c r="G8" s="91"/>
      <c r="H8" s="91"/>
      <c r="I8" s="91"/>
      <c r="J8" s="91"/>
      <c r="K8" s="91"/>
    </row>
    <row r="9" spans="1:11" x14ac:dyDescent="0.3">
      <c r="A9" s="91"/>
      <c r="B9" s="93" t="s">
        <v>1</v>
      </c>
      <c r="C9" s="93" t="s">
        <v>441</v>
      </c>
      <c r="D9" s="93" t="s">
        <v>442</v>
      </c>
      <c r="E9" s="93" t="s">
        <v>443</v>
      </c>
      <c r="F9" s="91"/>
      <c r="G9" s="91"/>
      <c r="H9" s="91"/>
      <c r="I9" s="91"/>
      <c r="J9" s="91"/>
      <c r="K9" s="91"/>
    </row>
    <row r="10" spans="1:11" x14ac:dyDescent="0.3">
      <c r="A10" s="91"/>
      <c r="B10" s="94" t="s">
        <v>444</v>
      </c>
      <c r="C10" s="94" t="s">
        <v>445</v>
      </c>
      <c r="D10" s="94" t="s">
        <v>446</v>
      </c>
      <c r="E10" s="94">
        <v>28</v>
      </c>
      <c r="F10" s="91"/>
      <c r="G10" s="91"/>
      <c r="H10" s="91"/>
      <c r="I10" s="91"/>
      <c r="J10" s="91"/>
      <c r="K10" s="91"/>
    </row>
    <row r="11" spans="1:11" x14ac:dyDescent="0.3">
      <c r="A11" s="91"/>
      <c r="B11" s="94" t="s">
        <v>447</v>
      </c>
      <c r="C11" s="94" t="s">
        <v>448</v>
      </c>
      <c r="D11" s="94" t="s">
        <v>449</v>
      </c>
      <c r="E11" s="94">
        <v>8</v>
      </c>
      <c r="F11" s="91"/>
      <c r="G11" s="91"/>
      <c r="H11" s="91"/>
      <c r="I11" s="91"/>
      <c r="J11" s="91"/>
      <c r="K11" s="91"/>
    </row>
    <row r="12" spans="1:11" x14ac:dyDescent="0.3">
      <c r="A12" s="91"/>
      <c r="B12" s="94" t="s">
        <v>450</v>
      </c>
      <c r="C12" s="94" t="s">
        <v>451</v>
      </c>
      <c r="D12" s="94" t="s">
        <v>446</v>
      </c>
      <c r="E12" s="94">
        <v>19</v>
      </c>
      <c r="F12" s="91"/>
      <c r="G12" s="91"/>
      <c r="H12" s="91"/>
      <c r="I12" s="91"/>
      <c r="J12" s="91"/>
      <c r="K12" s="91"/>
    </row>
    <row r="13" spans="1:11" x14ac:dyDescent="0.3">
      <c r="A13" s="91"/>
      <c r="B13" s="94" t="s">
        <v>452</v>
      </c>
      <c r="C13" s="94" t="s">
        <v>453</v>
      </c>
      <c r="D13" s="94" t="s">
        <v>454</v>
      </c>
      <c r="E13" s="94">
        <v>2</v>
      </c>
      <c r="F13" s="91"/>
      <c r="G13" s="91"/>
      <c r="H13" s="91"/>
      <c r="I13" s="91"/>
      <c r="J13" s="91"/>
      <c r="K13" s="91"/>
    </row>
    <row r="14" spans="1:11" x14ac:dyDescent="0.3">
      <c r="A14" s="91"/>
      <c r="B14" s="94" t="s">
        <v>455</v>
      </c>
      <c r="C14" s="94" t="s">
        <v>451</v>
      </c>
      <c r="D14" s="94" t="s">
        <v>456</v>
      </c>
      <c r="E14" s="94">
        <v>5</v>
      </c>
      <c r="F14" s="91"/>
      <c r="G14" s="91"/>
      <c r="H14" s="91"/>
      <c r="I14" s="91"/>
      <c r="J14" s="91"/>
      <c r="K14" s="91"/>
    </row>
    <row r="15" spans="1:11" x14ac:dyDescent="0.3">
      <c r="A15" s="91"/>
      <c r="B15" s="94" t="s">
        <v>457</v>
      </c>
      <c r="C15" s="94" t="s">
        <v>448</v>
      </c>
      <c r="D15" s="94" t="s">
        <v>446</v>
      </c>
      <c r="E15" s="94">
        <v>9</v>
      </c>
      <c r="F15" s="91"/>
      <c r="G15" s="91"/>
      <c r="H15" s="91"/>
      <c r="I15" s="91"/>
      <c r="J15" s="91"/>
      <c r="K15" s="91"/>
    </row>
    <row r="16" spans="1:11" x14ac:dyDescent="0.3">
      <c r="A16" s="91"/>
      <c r="B16" s="94" t="s">
        <v>458</v>
      </c>
      <c r="C16" s="94" t="s">
        <v>451</v>
      </c>
      <c r="D16" s="94" t="s">
        <v>459</v>
      </c>
      <c r="E16" s="94">
        <v>18</v>
      </c>
      <c r="F16" s="91"/>
      <c r="G16" s="91"/>
      <c r="H16" s="91"/>
      <c r="I16" s="91"/>
      <c r="J16" s="91"/>
      <c r="K16" s="91"/>
    </row>
    <row r="17" spans="1:11" x14ac:dyDescent="0.3">
      <c r="A17" s="91"/>
      <c r="B17" s="94" t="s">
        <v>460</v>
      </c>
      <c r="C17" s="94" t="s">
        <v>445</v>
      </c>
      <c r="D17" s="94" t="s">
        <v>446</v>
      </c>
      <c r="E17" s="94">
        <v>11</v>
      </c>
      <c r="F17" s="91"/>
      <c r="G17" s="91"/>
      <c r="H17" s="91"/>
      <c r="I17" s="91"/>
      <c r="J17" s="91"/>
      <c r="K17" s="91"/>
    </row>
    <row r="18" spans="1:11" x14ac:dyDescent="0.3">
      <c r="A18" s="91"/>
      <c r="B18" s="94" t="s">
        <v>461</v>
      </c>
      <c r="C18" s="94" t="s">
        <v>453</v>
      </c>
      <c r="D18" s="94" t="s">
        <v>462</v>
      </c>
      <c r="E18" s="94">
        <v>3</v>
      </c>
      <c r="F18" s="91"/>
      <c r="G18" s="91"/>
      <c r="H18" s="91"/>
      <c r="I18" s="91"/>
      <c r="J18" s="91"/>
      <c r="K18" s="91"/>
    </row>
    <row r="19" spans="1:11" x14ac:dyDescent="0.3">
      <c r="A19" s="91"/>
      <c r="B19" s="94" t="s">
        <v>463</v>
      </c>
      <c r="C19" s="94" t="s">
        <v>448</v>
      </c>
      <c r="D19" s="94" t="s">
        <v>464</v>
      </c>
      <c r="E19" s="94">
        <v>15</v>
      </c>
      <c r="F19" s="91"/>
      <c r="G19" s="91"/>
      <c r="H19" s="91"/>
      <c r="I19" s="91"/>
      <c r="J19" s="91"/>
      <c r="K19" s="91"/>
    </row>
    <row r="20" spans="1:11" x14ac:dyDescent="0.3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</row>
    <row r="21" spans="1:11" x14ac:dyDescent="0.3">
      <c r="A21" s="91"/>
      <c r="B21" s="95" t="s">
        <v>465</v>
      </c>
      <c r="C21" s="91"/>
      <c r="D21" s="91"/>
      <c r="E21" s="96" t="s">
        <v>466</v>
      </c>
      <c r="F21" s="91"/>
      <c r="G21" s="91"/>
      <c r="H21" s="91"/>
      <c r="I21" s="91"/>
      <c r="J21" s="91"/>
      <c r="K21" s="91"/>
    </row>
    <row r="22" spans="1:11" x14ac:dyDescent="0.3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</row>
    <row r="23" spans="1:11" x14ac:dyDescent="0.3">
      <c r="A23" s="91">
        <v>1</v>
      </c>
      <c r="B23" s="97" t="s">
        <v>467</v>
      </c>
      <c r="C23" s="91"/>
      <c r="D23" s="91"/>
      <c r="E23" s="91"/>
      <c r="F23" s="91"/>
      <c r="G23" s="91"/>
      <c r="H23" s="91"/>
      <c r="I23" s="91"/>
      <c r="J23" s="91"/>
      <c r="K23" s="91"/>
    </row>
    <row r="24" spans="1:11" x14ac:dyDescent="0.3">
      <c r="A24" s="91"/>
      <c r="B24" s="91"/>
      <c r="C24" s="98" t="s">
        <v>468</v>
      </c>
      <c r="D24" s="98"/>
      <c r="E24" s="91"/>
      <c r="F24" s="91"/>
      <c r="G24" s="91"/>
      <c r="H24" s="91"/>
      <c r="I24" s="91"/>
      <c r="J24" s="91"/>
      <c r="K24" s="91"/>
    </row>
    <row r="25" spans="1:11" x14ac:dyDescent="0.3">
      <c r="A25" s="91"/>
      <c r="B25" s="99" t="s">
        <v>112</v>
      </c>
      <c r="C25" s="100">
        <f>SUMIF(D9:D19,D10,E9:E19)</f>
        <v>67</v>
      </c>
      <c r="D25" s="91"/>
      <c r="E25" s="91"/>
      <c r="F25" s="91"/>
      <c r="G25" s="91"/>
      <c r="H25" s="91"/>
      <c r="I25" s="91"/>
      <c r="J25" s="91"/>
      <c r="K25" s="91"/>
    </row>
    <row r="26" spans="1:11" x14ac:dyDescent="0.3">
      <c r="A26" s="91"/>
      <c r="B26" s="151"/>
      <c r="C26" s="151"/>
      <c r="D26" s="151"/>
      <c r="E26" s="151"/>
      <c r="F26" s="151"/>
      <c r="G26" s="151"/>
      <c r="H26" s="151"/>
      <c r="I26" s="151"/>
      <c r="J26" s="151"/>
      <c r="K26" s="151"/>
    </row>
    <row r="27" spans="1:11" x14ac:dyDescent="0.3">
      <c r="A27" s="91"/>
      <c r="B27" s="151"/>
      <c r="C27" s="151"/>
      <c r="D27" s="151"/>
      <c r="E27" s="151"/>
      <c r="F27" s="151"/>
      <c r="G27" s="151"/>
      <c r="H27" s="151"/>
      <c r="I27" s="151"/>
      <c r="J27" s="151"/>
      <c r="K27" s="151"/>
    </row>
    <row r="28" spans="1:11" x14ac:dyDescent="0.3">
      <c r="A28" s="91"/>
      <c r="B28" s="151"/>
      <c r="C28" s="151"/>
      <c r="D28" s="151"/>
      <c r="E28" s="151"/>
      <c r="F28" s="151"/>
      <c r="G28" s="151"/>
      <c r="H28" s="151"/>
      <c r="I28" s="151"/>
      <c r="J28" s="151"/>
      <c r="K28" s="151"/>
    </row>
    <row r="29" spans="1:11" x14ac:dyDescent="0.3">
      <c r="A29" s="91"/>
      <c r="B29" s="151"/>
      <c r="C29" s="151"/>
      <c r="D29" s="151"/>
      <c r="E29" s="151"/>
      <c r="F29" s="151"/>
      <c r="G29" s="151"/>
      <c r="H29" s="151"/>
      <c r="I29" s="151"/>
      <c r="J29" s="151"/>
      <c r="K29" s="151"/>
    </row>
    <row r="30" spans="1:11" x14ac:dyDescent="0.3">
      <c r="A30" s="91"/>
      <c r="B30" s="151"/>
      <c r="C30" s="151"/>
      <c r="D30" s="151"/>
      <c r="E30" s="151"/>
      <c r="F30" s="151"/>
      <c r="G30" s="151"/>
      <c r="H30" s="151"/>
      <c r="I30" s="151"/>
      <c r="J30" s="151"/>
      <c r="K30" s="151"/>
    </row>
    <row r="31" spans="1:11" x14ac:dyDescent="0.3">
      <c r="A31" s="91"/>
      <c r="B31" s="151"/>
      <c r="C31" s="151"/>
      <c r="D31" s="151"/>
      <c r="E31" s="151"/>
      <c r="F31" s="151"/>
      <c r="G31" s="151"/>
      <c r="H31" s="151"/>
      <c r="I31" s="151"/>
      <c r="J31" s="151"/>
      <c r="K31" s="151"/>
    </row>
    <row r="32" spans="1:11" x14ac:dyDescent="0.3">
      <c r="A32" s="91"/>
      <c r="B32" s="151"/>
      <c r="C32" s="151"/>
      <c r="D32" s="151"/>
      <c r="E32" s="151"/>
      <c r="F32" s="151"/>
      <c r="G32" s="151"/>
      <c r="H32" s="151"/>
      <c r="I32" s="151"/>
      <c r="J32" s="151"/>
      <c r="K32" s="151"/>
    </row>
    <row r="33" spans="1:11" x14ac:dyDescent="0.3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</row>
    <row r="34" spans="1:11" x14ac:dyDescent="0.3">
      <c r="A34" s="91">
        <v>2</v>
      </c>
      <c r="B34" s="97" t="s">
        <v>469</v>
      </c>
      <c r="C34" s="91"/>
      <c r="D34" s="91"/>
      <c r="E34" s="91"/>
      <c r="F34" s="91"/>
      <c r="G34" s="91"/>
      <c r="H34" s="91"/>
      <c r="I34" s="91"/>
      <c r="J34" s="91"/>
      <c r="K34" s="91"/>
    </row>
    <row r="35" spans="1:11" x14ac:dyDescent="0.3">
      <c r="A35" s="91"/>
      <c r="B35" s="91"/>
      <c r="C35" s="98" t="s">
        <v>468</v>
      </c>
      <c r="D35" s="98"/>
      <c r="E35" s="91"/>
      <c r="F35" s="91"/>
      <c r="G35" s="91"/>
      <c r="H35" s="91"/>
      <c r="I35" s="91"/>
      <c r="J35" s="91"/>
      <c r="K35" s="91"/>
    </row>
    <row r="36" spans="1:11" x14ac:dyDescent="0.3">
      <c r="A36" s="91"/>
      <c r="B36" s="99" t="s">
        <v>112</v>
      </c>
      <c r="C36" s="100">
        <f>SUMIF(C10:C19,C18,E10:E19)</f>
        <v>5</v>
      </c>
      <c r="D36" s="91"/>
      <c r="E36" s="91"/>
      <c r="F36" s="91"/>
      <c r="G36" s="91"/>
      <c r="H36" s="91"/>
      <c r="I36" s="91"/>
      <c r="J36" s="91"/>
      <c r="K36" s="91"/>
    </row>
    <row r="37" spans="1:11" x14ac:dyDescent="0.3">
      <c r="A37" s="91"/>
      <c r="B37" s="151"/>
      <c r="C37" s="151"/>
      <c r="D37" s="151"/>
      <c r="E37" s="151"/>
      <c r="F37" s="151"/>
      <c r="G37" s="151"/>
      <c r="H37" s="151"/>
      <c r="I37" s="151"/>
      <c r="J37" s="151"/>
      <c r="K37" s="151"/>
    </row>
    <row r="38" spans="1:11" x14ac:dyDescent="0.3">
      <c r="A38" s="91"/>
      <c r="B38" s="151"/>
      <c r="C38" s="151"/>
      <c r="D38" s="151"/>
      <c r="E38" s="151"/>
      <c r="F38" s="151"/>
      <c r="G38" s="151"/>
      <c r="H38" s="151"/>
      <c r="I38" s="151"/>
      <c r="J38" s="151"/>
      <c r="K38" s="151"/>
    </row>
    <row r="39" spans="1:11" x14ac:dyDescent="0.3">
      <c r="A39" s="91"/>
      <c r="B39" s="151"/>
      <c r="C39" s="151"/>
      <c r="D39" s="151"/>
      <c r="E39" s="151"/>
      <c r="F39" s="151"/>
      <c r="G39" s="151"/>
      <c r="H39" s="151"/>
      <c r="I39" s="151"/>
      <c r="J39" s="151"/>
      <c r="K39" s="151"/>
    </row>
    <row r="40" spans="1:11" x14ac:dyDescent="0.3">
      <c r="A40" s="91"/>
      <c r="B40" s="151"/>
      <c r="C40" s="151"/>
      <c r="D40" s="151"/>
      <c r="E40" s="151"/>
      <c r="F40" s="151"/>
      <c r="G40" s="151"/>
      <c r="H40" s="151"/>
      <c r="I40" s="151"/>
      <c r="J40" s="151"/>
      <c r="K40" s="151"/>
    </row>
    <row r="41" spans="1:11" x14ac:dyDescent="0.3">
      <c r="A41" s="91"/>
      <c r="B41" s="151"/>
      <c r="C41" s="151"/>
      <c r="D41" s="151"/>
      <c r="E41" s="151"/>
      <c r="F41" s="151"/>
      <c r="G41" s="151"/>
      <c r="H41" s="151"/>
      <c r="I41" s="151"/>
      <c r="J41" s="151"/>
      <c r="K41" s="151"/>
    </row>
    <row r="42" spans="1:11" x14ac:dyDescent="0.3">
      <c r="A42" s="91"/>
      <c r="B42" s="151"/>
      <c r="C42" s="151"/>
      <c r="D42" s="151"/>
      <c r="E42" s="151"/>
      <c r="F42" s="151"/>
      <c r="G42" s="151"/>
      <c r="H42" s="151"/>
      <c r="I42" s="151"/>
      <c r="J42" s="151"/>
      <c r="K42" s="151"/>
    </row>
    <row r="43" spans="1:11" x14ac:dyDescent="0.3">
      <c r="A43" s="91"/>
      <c r="B43" s="151"/>
      <c r="C43" s="151"/>
      <c r="D43" s="151"/>
      <c r="E43" s="151"/>
      <c r="F43" s="151"/>
      <c r="G43" s="151"/>
      <c r="H43" s="151"/>
      <c r="I43" s="151"/>
      <c r="J43" s="151"/>
      <c r="K43" s="151"/>
    </row>
    <row r="44" spans="1:11" x14ac:dyDescent="0.3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</row>
    <row r="45" spans="1:11" x14ac:dyDescent="0.3">
      <c r="A45" s="91">
        <v>2</v>
      </c>
      <c r="B45" s="97" t="s">
        <v>470</v>
      </c>
      <c r="C45" s="91"/>
      <c r="D45" s="91"/>
      <c r="E45" s="91"/>
      <c r="F45" s="91"/>
      <c r="G45" s="91"/>
      <c r="H45" s="91"/>
      <c r="I45" s="91"/>
      <c r="J45" s="91"/>
      <c r="K45" s="91"/>
    </row>
    <row r="46" spans="1:11" x14ac:dyDescent="0.3">
      <c r="A46" s="91"/>
      <c r="B46" s="91"/>
      <c r="C46" s="98" t="s">
        <v>468</v>
      </c>
      <c r="D46" s="98"/>
      <c r="E46" s="91"/>
      <c r="F46" s="91"/>
      <c r="G46" s="91"/>
      <c r="H46" s="91"/>
      <c r="I46" s="91"/>
      <c r="J46" s="91"/>
      <c r="K46" s="91"/>
    </row>
    <row r="47" spans="1:11" x14ac:dyDescent="0.3">
      <c r="A47" s="91"/>
      <c r="B47" s="99" t="s">
        <v>112</v>
      </c>
      <c r="C47" s="100">
        <f>SUMIF(D10:D19,D10,E10:E19)+SUMIF(D10:D19,D11,E10:E19)</f>
        <v>75</v>
      </c>
      <c r="D47" s="91"/>
      <c r="E47" s="91"/>
      <c r="F47" s="91"/>
      <c r="G47" s="91"/>
      <c r="H47" s="91"/>
      <c r="I47" s="91"/>
      <c r="J47" s="91"/>
      <c r="K47" s="91"/>
    </row>
    <row r="48" spans="1:11" x14ac:dyDescent="0.3">
      <c r="A48" s="91"/>
      <c r="B48" s="151"/>
      <c r="C48" s="151"/>
      <c r="D48" s="151"/>
      <c r="E48" s="151"/>
      <c r="F48" s="151"/>
      <c r="G48" s="151"/>
      <c r="H48" s="151"/>
      <c r="I48" s="151"/>
      <c r="J48" s="151"/>
      <c r="K48" s="151"/>
    </row>
    <row r="49" spans="1:11" x14ac:dyDescent="0.3">
      <c r="A49" s="91"/>
      <c r="B49" s="151"/>
      <c r="C49" s="151"/>
      <c r="D49" s="151"/>
      <c r="E49" s="151"/>
      <c r="F49" s="151"/>
      <c r="G49" s="151"/>
      <c r="H49" s="151"/>
      <c r="I49" s="151"/>
      <c r="J49" s="151"/>
      <c r="K49" s="151"/>
    </row>
    <row r="50" spans="1:11" x14ac:dyDescent="0.3">
      <c r="A50" s="91"/>
      <c r="B50" s="151"/>
      <c r="C50" s="151"/>
      <c r="D50" s="151"/>
      <c r="E50" s="151"/>
      <c r="F50" s="151"/>
      <c r="G50" s="151"/>
      <c r="H50" s="151"/>
      <c r="I50" s="151"/>
      <c r="J50" s="151"/>
      <c r="K50" s="151"/>
    </row>
    <row r="51" spans="1:11" x14ac:dyDescent="0.3">
      <c r="A51" s="91"/>
      <c r="B51" s="151"/>
      <c r="C51" s="151"/>
      <c r="D51" s="151"/>
      <c r="E51" s="151"/>
      <c r="F51" s="151"/>
      <c r="G51" s="151"/>
      <c r="H51" s="151"/>
      <c r="I51" s="151"/>
      <c r="J51" s="151"/>
      <c r="K51" s="151"/>
    </row>
    <row r="52" spans="1:11" x14ac:dyDescent="0.3">
      <c r="A52" s="91"/>
      <c r="B52" s="151"/>
      <c r="C52" s="151"/>
      <c r="D52" s="151"/>
      <c r="E52" s="151"/>
      <c r="F52" s="151"/>
      <c r="G52" s="151"/>
      <c r="H52" s="151"/>
      <c r="I52" s="151"/>
      <c r="J52" s="151"/>
      <c r="K52" s="151"/>
    </row>
    <row r="53" spans="1:11" x14ac:dyDescent="0.3">
      <c r="A53" s="91"/>
      <c r="B53" s="151"/>
      <c r="C53" s="151"/>
      <c r="D53" s="151"/>
      <c r="E53" s="151"/>
      <c r="F53" s="151"/>
      <c r="G53" s="151"/>
      <c r="H53" s="151"/>
      <c r="I53" s="151"/>
      <c r="J53" s="151"/>
      <c r="K53" s="151"/>
    </row>
    <row r="54" spans="1:11" x14ac:dyDescent="0.3">
      <c r="A54" s="91"/>
      <c r="B54" s="151"/>
      <c r="C54" s="151"/>
      <c r="D54" s="151"/>
      <c r="E54" s="151"/>
      <c r="F54" s="151"/>
      <c r="G54" s="151"/>
      <c r="H54" s="151"/>
      <c r="I54" s="151"/>
      <c r="J54" s="151"/>
      <c r="K54" s="151"/>
    </row>
    <row r="55" spans="1:11" x14ac:dyDescent="0.3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</row>
  </sheetData>
  <mergeCells count="3">
    <mergeCell ref="B26:K32"/>
    <mergeCell ref="B37:K43"/>
    <mergeCell ref="B48:K54"/>
  </mergeCells>
  <hyperlinks>
    <hyperlink ref="E21" location="'SUMIF2  Answers'!A1" display="'SUMIF2  Answers'!A1" xr:uid="{1EC38C6E-2721-4B76-9A22-2E2E742E47D3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7355-790A-411F-A250-706A4E11D784}">
  <sheetPr codeName="Sheet21"/>
  <dimension ref="A7:H33"/>
  <sheetViews>
    <sheetView topLeftCell="A2" workbookViewId="0">
      <selection activeCell="O8" sqref="O8"/>
    </sheetView>
  </sheetViews>
  <sheetFormatPr defaultRowHeight="14.4" x14ac:dyDescent="0.3"/>
  <cols>
    <col min="1" max="1" width="10.5546875" customWidth="1"/>
    <col min="7" max="7" width="13.5546875" customWidth="1"/>
  </cols>
  <sheetData>
    <row r="7" spans="1:8" x14ac:dyDescent="0.3">
      <c r="A7" t="s">
        <v>471</v>
      </c>
    </row>
    <row r="8" spans="1:8" x14ac:dyDescent="0.3">
      <c r="A8" t="s">
        <v>472</v>
      </c>
    </row>
    <row r="10" spans="1:8" x14ac:dyDescent="0.3">
      <c r="G10" s="89" t="s">
        <v>473</v>
      </c>
    </row>
    <row r="12" spans="1:8" ht="28.8" x14ac:dyDescent="0.3">
      <c r="G12" s="101" t="s">
        <v>254</v>
      </c>
      <c r="H12" s="101" t="s">
        <v>474</v>
      </c>
    </row>
    <row r="13" spans="1:8" x14ac:dyDescent="0.3">
      <c r="A13" s="89" t="s">
        <v>254</v>
      </c>
      <c r="B13" s="89" t="s">
        <v>474</v>
      </c>
      <c r="G13" s="102">
        <v>44197</v>
      </c>
      <c r="H13" s="103">
        <v>1.3671</v>
      </c>
    </row>
    <row r="14" spans="1:8" x14ac:dyDescent="0.3">
      <c r="A14" s="104">
        <v>44201</v>
      </c>
      <c r="B14" s="105">
        <f>VLOOKUP(A14,G12:H33,2,0)</f>
        <v>1.3624000000000001</v>
      </c>
      <c r="G14" s="102">
        <v>44200</v>
      </c>
      <c r="H14" s="103">
        <v>1.3569</v>
      </c>
    </row>
    <row r="15" spans="1:8" x14ac:dyDescent="0.3">
      <c r="A15" s="104">
        <v>44211</v>
      </c>
      <c r="B15" s="105">
        <f t="shared" ref="B15" si="0">VLOOKUP(A15,G13:H34,2,0)</f>
        <v>1.3586</v>
      </c>
      <c r="G15" s="102">
        <v>44201</v>
      </c>
      <c r="H15" s="103">
        <v>1.3624000000000001</v>
      </c>
    </row>
    <row r="16" spans="1:8" x14ac:dyDescent="0.3">
      <c r="A16" s="104">
        <v>44220</v>
      </c>
      <c r="B16" s="105">
        <f>VLOOKUP(A16,G14:H35,2,1)</f>
        <v>1.3684000000000001</v>
      </c>
      <c r="G16" s="102">
        <v>44202</v>
      </c>
      <c r="H16" s="103">
        <v>1.3607</v>
      </c>
    </row>
    <row r="17" spans="7:8" x14ac:dyDescent="0.3">
      <c r="G17" s="102">
        <v>44203</v>
      </c>
      <c r="H17" s="103">
        <v>1.3563000000000001</v>
      </c>
    </row>
    <row r="18" spans="7:8" x14ac:dyDescent="0.3">
      <c r="G18" s="102">
        <v>44204</v>
      </c>
      <c r="H18" s="103">
        <v>1.3563000000000001</v>
      </c>
    </row>
    <row r="19" spans="7:8" x14ac:dyDescent="0.3">
      <c r="G19" s="102">
        <v>44207</v>
      </c>
      <c r="H19" s="103">
        <v>1.3513999999999999</v>
      </c>
    </row>
    <row r="20" spans="7:8" x14ac:dyDescent="0.3">
      <c r="G20" s="102">
        <v>44208</v>
      </c>
      <c r="H20" s="103">
        <v>1.3663000000000001</v>
      </c>
    </row>
    <row r="21" spans="7:8" x14ac:dyDescent="0.3">
      <c r="G21" s="102">
        <v>44209</v>
      </c>
      <c r="H21" s="103">
        <v>1.3636999999999999</v>
      </c>
    </row>
    <row r="22" spans="7:8" x14ac:dyDescent="0.3">
      <c r="G22" s="102">
        <v>44210</v>
      </c>
      <c r="H22" s="103">
        <v>1.3687</v>
      </c>
    </row>
    <row r="23" spans="7:8" x14ac:dyDescent="0.3">
      <c r="G23" s="102">
        <v>44211</v>
      </c>
      <c r="H23" s="103">
        <v>1.3586</v>
      </c>
    </row>
    <row r="24" spans="7:8" x14ac:dyDescent="0.3">
      <c r="G24" s="102">
        <v>44214</v>
      </c>
      <c r="H24" s="103">
        <v>1.3584000000000001</v>
      </c>
    </row>
    <row r="25" spans="7:8" x14ac:dyDescent="0.3">
      <c r="G25" s="102">
        <v>44215</v>
      </c>
      <c r="H25" s="103">
        <v>1.3628</v>
      </c>
    </row>
    <row r="26" spans="7:8" x14ac:dyDescent="0.3">
      <c r="G26" s="102">
        <v>44216</v>
      </c>
      <c r="H26" s="103">
        <v>1.3653</v>
      </c>
    </row>
    <row r="27" spans="7:8" x14ac:dyDescent="0.3">
      <c r="G27" s="102">
        <v>44217</v>
      </c>
      <c r="H27" s="103">
        <v>1.3732</v>
      </c>
    </row>
    <row r="28" spans="7:8" x14ac:dyDescent="0.3">
      <c r="G28" s="102">
        <v>44218</v>
      </c>
      <c r="H28" s="103">
        <v>1.3684000000000001</v>
      </c>
    </row>
    <row r="29" spans="7:8" x14ac:dyDescent="0.3">
      <c r="G29" s="102">
        <v>44221</v>
      </c>
      <c r="H29" s="103">
        <v>1.3673999999999999</v>
      </c>
    </row>
    <row r="30" spans="7:8" x14ac:dyDescent="0.3">
      <c r="G30" s="102">
        <v>44222</v>
      </c>
      <c r="H30" s="103">
        <v>1.3733</v>
      </c>
    </row>
    <row r="31" spans="7:8" x14ac:dyDescent="0.3">
      <c r="G31" s="102">
        <v>44223</v>
      </c>
      <c r="H31" s="103">
        <v>1.3686</v>
      </c>
    </row>
    <row r="32" spans="7:8" x14ac:dyDescent="0.3">
      <c r="G32" s="102">
        <v>44224</v>
      </c>
      <c r="H32" s="103">
        <v>1.3717999999999999</v>
      </c>
    </row>
    <row r="33" spans="7:8" x14ac:dyDescent="0.3">
      <c r="G33" s="102">
        <v>44225</v>
      </c>
      <c r="H33" s="103">
        <v>1.3702000000000001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DCE9-DD33-4CD2-BBA3-98E6FD9F3EC5}">
  <sheetPr codeName="Sheet22"/>
  <dimension ref="A7:G42"/>
  <sheetViews>
    <sheetView topLeftCell="A18" workbookViewId="0">
      <selection activeCell="C39" sqref="C39"/>
    </sheetView>
  </sheetViews>
  <sheetFormatPr defaultRowHeight="14.4" x14ac:dyDescent="0.3"/>
  <cols>
    <col min="3" max="3" width="18.6640625" customWidth="1"/>
    <col min="4" max="4" width="14.44140625" customWidth="1"/>
    <col min="5" max="5" width="10.88671875" customWidth="1"/>
  </cols>
  <sheetData>
    <row r="7" spans="1:7" x14ac:dyDescent="0.3">
      <c r="A7" s="106"/>
      <c r="B7" s="152" t="s">
        <v>475</v>
      </c>
      <c r="C7" s="132"/>
      <c r="D7" s="132"/>
      <c r="E7" s="132"/>
      <c r="F7" s="107"/>
      <c r="G7" s="107"/>
    </row>
    <row r="8" spans="1:7" x14ac:dyDescent="0.3">
      <c r="A8" s="106"/>
      <c r="B8" s="107"/>
      <c r="C8" s="107"/>
      <c r="D8" s="107"/>
      <c r="E8" s="107"/>
      <c r="F8" s="107"/>
      <c r="G8" s="107"/>
    </row>
    <row r="9" spans="1:7" x14ac:dyDescent="0.3">
      <c r="A9" s="106"/>
      <c r="B9" s="108" t="s">
        <v>91</v>
      </c>
      <c r="C9" s="109" t="s">
        <v>1</v>
      </c>
      <c r="D9" s="109" t="s">
        <v>476</v>
      </c>
      <c r="E9" s="109" t="s">
        <v>108</v>
      </c>
      <c r="F9" s="109" t="s">
        <v>141</v>
      </c>
      <c r="G9" s="107"/>
    </row>
    <row r="10" spans="1:7" x14ac:dyDescent="0.3">
      <c r="A10" s="106"/>
      <c r="B10" s="110">
        <v>56815</v>
      </c>
      <c r="C10" s="111" t="s">
        <v>477</v>
      </c>
      <c r="D10" s="111" t="s">
        <v>478</v>
      </c>
      <c r="E10" s="111">
        <v>13836</v>
      </c>
      <c r="F10" s="111">
        <v>25</v>
      </c>
      <c r="G10" s="107"/>
    </row>
    <row r="11" spans="1:7" x14ac:dyDescent="0.3">
      <c r="A11" s="106"/>
      <c r="B11" s="110">
        <v>51186</v>
      </c>
      <c r="C11" s="111" t="s">
        <v>479</v>
      </c>
      <c r="D11" s="111" t="s">
        <v>480</v>
      </c>
      <c r="E11" s="111">
        <v>11771</v>
      </c>
      <c r="F11" s="111">
        <v>32</v>
      </c>
      <c r="G11" s="107"/>
    </row>
    <row r="12" spans="1:7" x14ac:dyDescent="0.3">
      <c r="A12" s="106"/>
      <c r="B12" s="110">
        <v>51511</v>
      </c>
      <c r="C12" s="111" t="s">
        <v>481</v>
      </c>
      <c r="D12" s="111" t="s">
        <v>482</v>
      </c>
      <c r="E12" s="111">
        <v>13046</v>
      </c>
      <c r="F12" s="111">
        <v>35</v>
      </c>
      <c r="G12" s="107"/>
    </row>
    <row r="13" spans="1:7" x14ac:dyDescent="0.3">
      <c r="A13" s="106"/>
      <c r="B13" s="110">
        <v>50890</v>
      </c>
      <c r="C13" s="111" t="s">
        <v>483</v>
      </c>
      <c r="D13" s="111" t="s">
        <v>484</v>
      </c>
      <c r="E13" s="111">
        <v>18276</v>
      </c>
      <c r="F13" s="111">
        <v>32</v>
      </c>
      <c r="G13" s="107"/>
    </row>
    <row r="14" spans="1:7" x14ac:dyDescent="0.3">
      <c r="A14" s="106"/>
      <c r="B14" s="110">
        <v>53700</v>
      </c>
      <c r="C14" s="111" t="s">
        <v>485</v>
      </c>
      <c r="D14" s="111" t="s">
        <v>486</v>
      </c>
      <c r="E14" s="111">
        <v>19327</v>
      </c>
      <c r="F14" s="111">
        <v>26</v>
      </c>
      <c r="G14" s="107"/>
    </row>
    <row r="15" spans="1:7" x14ac:dyDescent="0.3">
      <c r="A15" s="106"/>
      <c r="B15" s="110">
        <v>55879</v>
      </c>
      <c r="C15" s="111" t="s">
        <v>487</v>
      </c>
      <c r="D15" s="111" t="s">
        <v>488</v>
      </c>
      <c r="E15" s="111">
        <v>18996</v>
      </c>
      <c r="F15" s="111">
        <v>35</v>
      </c>
      <c r="G15" s="107"/>
    </row>
    <row r="16" spans="1:7" x14ac:dyDescent="0.3">
      <c r="A16" s="106"/>
      <c r="B16" s="110">
        <v>59848</v>
      </c>
      <c r="C16" s="111" t="s">
        <v>489</v>
      </c>
      <c r="D16" s="111" t="s">
        <v>482</v>
      </c>
      <c r="E16" s="111">
        <v>10387</v>
      </c>
      <c r="F16" s="111">
        <v>25</v>
      </c>
      <c r="G16" s="107"/>
    </row>
    <row r="17" spans="1:7" x14ac:dyDescent="0.3">
      <c r="A17" s="106"/>
      <c r="B17" s="110">
        <v>58369</v>
      </c>
      <c r="C17" s="111" t="s">
        <v>490</v>
      </c>
      <c r="D17" s="111" t="s">
        <v>488</v>
      </c>
      <c r="E17" s="111">
        <v>12566</v>
      </c>
      <c r="F17" s="111">
        <v>37</v>
      </c>
      <c r="G17" s="107"/>
    </row>
    <row r="18" spans="1:7" x14ac:dyDescent="0.3">
      <c r="A18" s="106"/>
      <c r="B18" s="110">
        <v>50217</v>
      </c>
      <c r="C18" s="111" t="s">
        <v>491</v>
      </c>
      <c r="D18" s="111" t="s">
        <v>492</v>
      </c>
      <c r="E18" s="111">
        <v>16406</v>
      </c>
      <c r="F18" s="111">
        <v>42</v>
      </c>
      <c r="G18" s="107"/>
    </row>
    <row r="19" spans="1:7" x14ac:dyDescent="0.3">
      <c r="A19" s="106"/>
      <c r="B19" s="110">
        <v>50695</v>
      </c>
      <c r="C19" s="111" t="s">
        <v>493</v>
      </c>
      <c r="D19" s="111" t="s">
        <v>484</v>
      </c>
      <c r="E19" s="111">
        <v>15784</v>
      </c>
      <c r="F19" s="111">
        <v>43</v>
      </c>
      <c r="G19" s="107"/>
    </row>
    <row r="20" spans="1:7" x14ac:dyDescent="0.3">
      <c r="A20" s="106"/>
      <c r="B20" s="110">
        <v>59673</v>
      </c>
      <c r="C20" s="111" t="s">
        <v>494</v>
      </c>
      <c r="D20" s="111" t="s">
        <v>478</v>
      </c>
      <c r="E20" s="111">
        <v>10959</v>
      </c>
      <c r="F20" s="111">
        <v>30</v>
      </c>
      <c r="G20" s="107"/>
    </row>
    <row r="21" spans="1:7" x14ac:dyDescent="0.3">
      <c r="A21" s="106"/>
      <c r="B21" s="110">
        <v>52130</v>
      </c>
      <c r="C21" s="111" t="s">
        <v>495</v>
      </c>
      <c r="D21" s="111" t="s">
        <v>496</v>
      </c>
      <c r="E21" s="111">
        <v>14562</v>
      </c>
      <c r="F21" s="111">
        <v>32</v>
      </c>
      <c r="G21" s="107"/>
    </row>
    <row r="22" spans="1:7" x14ac:dyDescent="0.3">
      <c r="A22" s="106"/>
      <c r="B22" s="107"/>
      <c r="C22" s="107"/>
      <c r="D22" s="107"/>
      <c r="E22" s="107"/>
      <c r="F22" s="107"/>
      <c r="G22" s="107"/>
    </row>
    <row r="23" spans="1:7" x14ac:dyDescent="0.3">
      <c r="A23" s="106">
        <v>1</v>
      </c>
      <c r="B23" s="107" t="s">
        <v>497</v>
      </c>
      <c r="C23" s="28"/>
      <c r="D23" s="28"/>
      <c r="E23" s="112" t="str">
        <f>VLOOKUP(B17,B9:F21,2,0)</f>
        <v>Thomas Davies</v>
      </c>
      <c r="F23" s="107"/>
      <c r="G23" s="107"/>
    </row>
    <row r="24" spans="1:7" x14ac:dyDescent="0.3">
      <c r="A24" s="106"/>
      <c r="B24" s="107"/>
      <c r="C24" s="107"/>
      <c r="D24" s="107"/>
      <c r="E24" s="107"/>
      <c r="F24" s="107"/>
      <c r="G24" s="107"/>
    </row>
    <row r="25" spans="1:7" x14ac:dyDescent="0.3">
      <c r="A25" s="106">
        <v>2</v>
      </c>
      <c r="B25" s="107" t="s">
        <v>498</v>
      </c>
      <c r="C25" s="28"/>
      <c r="D25" s="107"/>
      <c r="E25" s="112">
        <f>VLOOKUP(C20,C9:F21,4,0)</f>
        <v>30</v>
      </c>
      <c r="F25" s="107"/>
      <c r="G25" s="107"/>
    </row>
    <row r="26" spans="1:7" x14ac:dyDescent="0.3">
      <c r="A26" s="106"/>
      <c r="B26" s="107"/>
      <c r="C26" s="107"/>
      <c r="D26" s="107"/>
      <c r="E26" s="107"/>
      <c r="F26" s="107"/>
      <c r="G26" s="107"/>
    </row>
    <row r="27" spans="1:7" x14ac:dyDescent="0.3">
      <c r="A27" s="106">
        <v>3</v>
      </c>
      <c r="B27" s="153" t="s">
        <v>499</v>
      </c>
      <c r="C27" s="132"/>
      <c r="D27" s="132"/>
      <c r="E27" s="107"/>
      <c r="F27" s="107"/>
      <c r="G27" s="107"/>
    </row>
    <row r="28" spans="1:7" x14ac:dyDescent="0.3">
      <c r="A28" s="106"/>
      <c r="B28" s="107"/>
      <c r="C28" s="107"/>
      <c r="D28" s="107"/>
      <c r="E28" s="107"/>
      <c r="F28" s="107"/>
      <c r="G28" s="107"/>
    </row>
    <row r="29" spans="1:7" x14ac:dyDescent="0.3">
      <c r="A29" s="106"/>
      <c r="B29" s="113" t="s">
        <v>91</v>
      </c>
      <c r="C29" s="114" t="s">
        <v>476</v>
      </c>
      <c r="D29" s="107"/>
      <c r="E29" s="107"/>
      <c r="F29" s="107"/>
      <c r="G29" s="107"/>
    </row>
    <row r="30" spans="1:7" x14ac:dyDescent="0.3">
      <c r="A30" s="106"/>
      <c r="B30" s="110">
        <v>55879</v>
      </c>
      <c r="C30" s="115" t="str">
        <f>VLOOKUP(B15,B9:F21,3,0)</f>
        <v>Capetown</v>
      </c>
      <c r="D30" s="107"/>
      <c r="E30" s="107"/>
      <c r="F30" s="107"/>
      <c r="G30" s="107"/>
    </row>
    <row r="31" spans="1:7" x14ac:dyDescent="0.3">
      <c r="A31" s="106"/>
      <c r="B31" s="110">
        <v>50217</v>
      </c>
      <c r="C31" s="115" t="str">
        <f>VLOOKUP(B18,B10:F22,3,0)</f>
        <v>Warsaw</v>
      </c>
      <c r="D31" s="107"/>
      <c r="E31" s="107"/>
      <c r="F31" s="107"/>
      <c r="G31" s="107"/>
    </row>
    <row r="32" spans="1:7" x14ac:dyDescent="0.3">
      <c r="A32" s="106"/>
      <c r="B32" s="110">
        <v>50695</v>
      </c>
      <c r="C32" s="115" t="str">
        <f>VLOOKUP(B19,B11:F23,3,0)</f>
        <v>Cairo</v>
      </c>
      <c r="D32" s="107"/>
      <c r="E32" s="107"/>
      <c r="F32" s="107"/>
      <c r="G32" s="107"/>
    </row>
    <row r="33" spans="1:7" x14ac:dyDescent="0.3">
      <c r="A33" s="106"/>
      <c r="B33" s="107"/>
      <c r="C33" s="107"/>
      <c r="D33" s="107"/>
      <c r="E33" s="107"/>
      <c r="F33" s="107"/>
      <c r="G33" s="107"/>
    </row>
    <row r="34" spans="1:7" x14ac:dyDescent="0.3">
      <c r="A34" s="106">
        <v>4</v>
      </c>
      <c r="B34" s="153" t="s">
        <v>500</v>
      </c>
      <c r="C34" s="132"/>
      <c r="D34" s="132"/>
      <c r="E34" s="107"/>
      <c r="F34" s="107"/>
      <c r="G34" s="107"/>
    </row>
    <row r="35" spans="1:7" x14ac:dyDescent="0.3">
      <c r="A35" s="106"/>
      <c r="B35" s="107"/>
      <c r="C35" s="107"/>
      <c r="D35" s="107"/>
      <c r="E35" s="107"/>
      <c r="F35" s="107"/>
      <c r="G35" s="107"/>
    </row>
    <row r="36" spans="1:7" x14ac:dyDescent="0.3">
      <c r="A36" s="106"/>
      <c r="B36" s="113" t="s">
        <v>1</v>
      </c>
      <c r="C36" s="114" t="s">
        <v>108</v>
      </c>
      <c r="D36" s="107"/>
      <c r="E36" s="107"/>
      <c r="F36" s="107"/>
      <c r="G36" s="107"/>
    </row>
    <row r="37" spans="1:7" x14ac:dyDescent="0.3">
      <c r="A37" s="106"/>
      <c r="B37" s="110" t="s">
        <v>483</v>
      </c>
      <c r="C37" s="115">
        <f>VLOOKUP(C13,C11:F21,3,0)</f>
        <v>18276</v>
      </c>
      <c r="D37" s="107"/>
      <c r="E37" s="107"/>
      <c r="F37" s="107"/>
      <c r="G37" s="107"/>
    </row>
    <row r="38" spans="1:7" x14ac:dyDescent="0.3">
      <c r="A38" s="106"/>
      <c r="B38" s="110" t="s">
        <v>501</v>
      </c>
      <c r="C38" s="115" t="e">
        <f>VLOOKUP(B38,C9:F21,3,1)</f>
        <v>#N/A</v>
      </c>
      <c r="D38" s="107"/>
      <c r="E38" s="107"/>
      <c r="F38" s="107"/>
      <c r="G38" s="107"/>
    </row>
    <row r="39" spans="1:7" x14ac:dyDescent="0.3">
      <c r="A39" s="106"/>
      <c r="B39" s="110" t="s">
        <v>494</v>
      </c>
      <c r="C39" s="115">
        <f>VLOOKUP(C20,C13:F23,3,0)</f>
        <v>10959</v>
      </c>
      <c r="D39" s="107"/>
      <c r="E39" s="107"/>
      <c r="F39" s="107"/>
      <c r="G39" s="107"/>
    </row>
    <row r="40" spans="1:7" x14ac:dyDescent="0.3">
      <c r="A40" s="106"/>
      <c r="B40" s="107"/>
      <c r="C40" s="107"/>
      <c r="D40" s="107"/>
      <c r="E40" s="107"/>
      <c r="F40" s="107"/>
      <c r="G40" s="107"/>
    </row>
    <row r="41" spans="1:7" x14ac:dyDescent="0.3">
      <c r="A41" s="106"/>
      <c r="B41" s="107"/>
      <c r="C41" s="107"/>
      <c r="D41" s="107"/>
      <c r="E41" s="107"/>
      <c r="F41" s="107"/>
      <c r="G41" s="107"/>
    </row>
    <row r="42" spans="1:7" x14ac:dyDescent="0.3">
      <c r="A42" s="106"/>
      <c r="B42" s="107"/>
      <c r="C42" s="107"/>
      <c r="D42" s="107"/>
      <c r="E42" s="107"/>
      <c r="F42" s="107"/>
      <c r="G42" s="107"/>
    </row>
  </sheetData>
  <mergeCells count="3">
    <mergeCell ref="B7:E7"/>
    <mergeCell ref="B27:D27"/>
    <mergeCell ref="B34:D34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B51C-8778-453C-93F9-3CCE4AE99D9D}">
  <sheetPr codeName="Sheet23"/>
  <dimension ref="A7:K56"/>
  <sheetViews>
    <sheetView workbookViewId="0">
      <selection activeCell="G6" sqref="G6"/>
    </sheetView>
  </sheetViews>
  <sheetFormatPr defaultRowHeight="14.4" x14ac:dyDescent="0.3"/>
  <cols>
    <col min="5" max="5" width="11.5546875" bestFit="1" customWidth="1"/>
  </cols>
  <sheetData>
    <row r="7" spans="1:11" x14ac:dyDescent="0.3">
      <c r="A7" s="116"/>
      <c r="B7" s="118" t="s">
        <v>502</v>
      </c>
      <c r="C7" s="119"/>
      <c r="D7" s="119"/>
      <c r="E7" s="119"/>
      <c r="F7" s="119"/>
      <c r="G7" s="116"/>
      <c r="H7" s="116"/>
      <c r="I7" s="116"/>
      <c r="J7" s="116"/>
      <c r="K7" s="116"/>
    </row>
    <row r="8" spans="1:11" x14ac:dyDescent="0.3">
      <c r="A8" s="116"/>
      <c r="B8" s="120" t="s">
        <v>1</v>
      </c>
      <c r="C8" s="120" t="s">
        <v>141</v>
      </c>
      <c r="D8" s="120" t="s">
        <v>503</v>
      </c>
      <c r="E8" s="120" t="s">
        <v>504</v>
      </c>
      <c r="F8" s="119"/>
      <c r="G8" s="116"/>
      <c r="H8" s="116"/>
      <c r="I8" s="116"/>
      <c r="J8" s="116"/>
      <c r="K8" s="116"/>
    </row>
    <row r="9" spans="1:11" x14ac:dyDescent="0.3">
      <c r="A9" s="116"/>
      <c r="B9" s="121" t="s">
        <v>505</v>
      </c>
      <c r="C9" s="121">
        <v>35</v>
      </c>
      <c r="D9" s="121" t="s">
        <v>506</v>
      </c>
      <c r="E9" s="121" t="s">
        <v>507</v>
      </c>
      <c r="F9" s="119"/>
      <c r="G9" s="116"/>
      <c r="H9" s="116"/>
      <c r="I9" s="116"/>
      <c r="J9" s="116"/>
      <c r="K9" s="116"/>
    </row>
    <row r="10" spans="1:11" x14ac:dyDescent="0.3">
      <c r="A10" s="116"/>
      <c r="B10" s="121" t="s">
        <v>508</v>
      </c>
      <c r="C10" s="121">
        <v>42</v>
      </c>
      <c r="D10" s="121" t="s">
        <v>509</v>
      </c>
      <c r="E10" s="121" t="s">
        <v>510</v>
      </c>
      <c r="F10" s="119"/>
      <c r="G10" s="116"/>
      <c r="H10" s="116"/>
      <c r="I10" s="116"/>
      <c r="J10" s="116"/>
      <c r="K10" s="116"/>
    </row>
    <row r="11" spans="1:11" x14ac:dyDescent="0.3">
      <c r="A11" s="116"/>
      <c r="B11" s="121" t="s">
        <v>95</v>
      </c>
      <c r="C11" s="121">
        <v>28</v>
      </c>
      <c r="D11" s="121" t="s">
        <v>506</v>
      </c>
      <c r="E11" s="121" t="s">
        <v>511</v>
      </c>
      <c r="F11" s="119"/>
      <c r="G11" s="116"/>
      <c r="H11" s="116"/>
      <c r="I11" s="116"/>
      <c r="J11" s="116"/>
      <c r="K11" s="116"/>
    </row>
    <row r="12" spans="1:11" x14ac:dyDescent="0.3">
      <c r="A12" s="116"/>
      <c r="B12" s="121" t="s">
        <v>512</v>
      </c>
      <c r="C12" s="121">
        <v>25</v>
      </c>
      <c r="D12" s="121" t="s">
        <v>509</v>
      </c>
      <c r="E12" s="121" t="s">
        <v>104</v>
      </c>
      <c r="F12" s="119"/>
      <c r="G12" s="116"/>
      <c r="H12" s="116"/>
      <c r="I12" s="116"/>
      <c r="J12" s="116"/>
      <c r="K12" s="116"/>
    </row>
    <row r="13" spans="1:11" x14ac:dyDescent="0.3">
      <c r="A13" s="116"/>
      <c r="B13" s="121" t="s">
        <v>513</v>
      </c>
      <c r="C13" s="121">
        <v>31</v>
      </c>
      <c r="D13" s="121" t="s">
        <v>506</v>
      </c>
      <c r="E13" s="121" t="s">
        <v>105</v>
      </c>
      <c r="F13" s="119"/>
      <c r="G13" s="116"/>
      <c r="H13" s="116"/>
      <c r="I13" s="116"/>
      <c r="J13" s="116"/>
      <c r="K13" s="116"/>
    </row>
    <row r="14" spans="1:11" x14ac:dyDescent="0.3">
      <c r="A14" s="116"/>
      <c r="B14" s="121" t="s">
        <v>514</v>
      </c>
      <c r="C14" s="121">
        <v>27</v>
      </c>
      <c r="D14" s="121" t="s">
        <v>509</v>
      </c>
      <c r="E14" s="121" t="s">
        <v>515</v>
      </c>
      <c r="F14" s="119"/>
      <c r="G14" s="116"/>
      <c r="H14" s="116"/>
      <c r="I14" s="116"/>
      <c r="J14" s="116"/>
      <c r="K14" s="116"/>
    </row>
    <row r="15" spans="1:11" x14ac:dyDescent="0.3">
      <c r="A15" s="116"/>
      <c r="B15" s="121" t="s">
        <v>516</v>
      </c>
      <c r="C15" s="121">
        <v>38</v>
      </c>
      <c r="D15" s="121" t="s">
        <v>506</v>
      </c>
      <c r="E15" s="121" t="s">
        <v>517</v>
      </c>
      <c r="F15" s="119"/>
      <c r="G15" s="116"/>
      <c r="H15" s="116"/>
      <c r="I15" s="116"/>
      <c r="J15" s="116"/>
      <c r="K15" s="116"/>
    </row>
    <row r="16" spans="1:11" x14ac:dyDescent="0.3">
      <c r="A16" s="116"/>
      <c r="B16" s="121" t="s">
        <v>518</v>
      </c>
      <c r="C16" s="121">
        <v>29</v>
      </c>
      <c r="D16" s="121" t="s">
        <v>509</v>
      </c>
      <c r="E16" s="121" t="s">
        <v>519</v>
      </c>
      <c r="F16" s="119"/>
      <c r="G16" s="116"/>
      <c r="H16" s="116"/>
      <c r="I16" s="116"/>
      <c r="J16" s="116"/>
      <c r="K16" s="116"/>
    </row>
    <row r="17" spans="1:11" x14ac:dyDescent="0.3">
      <c r="A17" s="116"/>
      <c r="B17" s="121" t="s">
        <v>520</v>
      </c>
      <c r="C17" s="121">
        <v>45</v>
      </c>
      <c r="D17" s="121" t="s">
        <v>506</v>
      </c>
      <c r="E17" s="121" t="s">
        <v>521</v>
      </c>
      <c r="F17" s="119"/>
      <c r="G17" s="116"/>
      <c r="H17" s="116"/>
      <c r="I17" s="116"/>
      <c r="J17" s="116"/>
      <c r="K17" s="116"/>
    </row>
    <row r="18" spans="1:11" x14ac:dyDescent="0.3">
      <c r="A18" s="116"/>
      <c r="B18" s="121" t="s">
        <v>522</v>
      </c>
      <c r="C18" s="121">
        <v>33</v>
      </c>
      <c r="D18" s="121" t="s">
        <v>509</v>
      </c>
      <c r="E18" s="121" t="s">
        <v>523</v>
      </c>
      <c r="F18" s="119"/>
      <c r="G18" s="116"/>
      <c r="H18" s="116"/>
      <c r="I18" s="116"/>
      <c r="J18" s="116"/>
      <c r="K18" s="116"/>
    </row>
    <row r="19" spans="1:11" x14ac:dyDescent="0.3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</row>
    <row r="20" spans="1:11" x14ac:dyDescent="0.3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</row>
    <row r="21" spans="1:11" x14ac:dyDescent="0.3">
      <c r="A21" s="116"/>
      <c r="B21" s="117" t="s">
        <v>465</v>
      </c>
      <c r="C21" s="116"/>
      <c r="D21" s="116"/>
      <c r="E21" s="116"/>
      <c r="F21" s="116"/>
      <c r="G21" s="116"/>
      <c r="H21" s="116"/>
      <c r="I21" s="116"/>
      <c r="J21" s="116"/>
      <c r="K21" s="116"/>
    </row>
    <row r="22" spans="1:11" x14ac:dyDescent="0.3">
      <c r="A22" s="116"/>
      <c r="B22" s="116"/>
      <c r="C22" s="116"/>
      <c r="D22" s="116"/>
      <c r="E22" s="116"/>
      <c r="F22" s="116"/>
      <c r="G22" s="116" t="s">
        <v>524</v>
      </c>
      <c r="H22" s="116"/>
      <c r="I22" s="116"/>
      <c r="J22" s="116"/>
      <c r="K22" s="116"/>
    </row>
    <row r="23" spans="1:11" x14ac:dyDescent="0.3">
      <c r="A23" s="116">
        <v>1</v>
      </c>
      <c r="B23" s="116" t="s">
        <v>525</v>
      </c>
      <c r="C23" s="116"/>
      <c r="D23" s="116"/>
      <c r="E23" s="116"/>
      <c r="F23" s="116"/>
      <c r="G23" s="116"/>
      <c r="H23" s="116"/>
      <c r="I23" s="116"/>
      <c r="J23" s="116"/>
      <c r="K23" s="116"/>
    </row>
    <row r="24" spans="1:11" x14ac:dyDescent="0.3">
      <c r="A24" s="116"/>
      <c r="B24" s="116"/>
      <c r="C24" s="98" t="s">
        <v>468</v>
      </c>
      <c r="D24" s="98"/>
      <c r="E24" s="116"/>
      <c r="F24" s="116"/>
      <c r="G24" s="116"/>
      <c r="H24" s="116"/>
      <c r="I24" s="116"/>
      <c r="J24" s="116"/>
      <c r="K24" s="116"/>
    </row>
    <row r="25" spans="1:11" x14ac:dyDescent="0.3">
      <c r="A25" s="116"/>
      <c r="B25" s="99" t="s">
        <v>112</v>
      </c>
      <c r="C25" s="100" t="str">
        <f>VLOOKUP(B10,B8:E18,4,0)</f>
        <v>Data Scientist</v>
      </c>
      <c r="D25" s="116"/>
      <c r="E25" s="116"/>
      <c r="F25" s="116"/>
      <c r="G25" s="116"/>
      <c r="H25" s="116"/>
      <c r="I25" s="116"/>
      <c r="J25" s="116"/>
      <c r="K25" s="116"/>
    </row>
    <row r="26" spans="1:11" x14ac:dyDescent="0.3">
      <c r="A26" s="116"/>
      <c r="B26" s="154"/>
      <c r="C26" s="154"/>
      <c r="D26" s="154"/>
      <c r="E26" s="154"/>
      <c r="F26" s="154"/>
      <c r="G26" s="154"/>
      <c r="H26" s="154"/>
      <c r="I26" s="154"/>
      <c r="J26" s="154"/>
      <c r="K26" s="154"/>
    </row>
    <row r="27" spans="1:11" x14ac:dyDescent="0.3">
      <c r="A27" s="116"/>
      <c r="B27" s="154"/>
      <c r="C27" s="154"/>
      <c r="D27" s="154"/>
      <c r="E27" s="154"/>
      <c r="F27" s="154"/>
      <c r="G27" s="154"/>
      <c r="H27" s="154"/>
      <c r="I27" s="154"/>
      <c r="J27" s="154"/>
      <c r="K27" s="154"/>
    </row>
    <row r="28" spans="1:11" x14ac:dyDescent="0.3">
      <c r="A28" s="116"/>
      <c r="B28" s="154"/>
      <c r="C28" s="154"/>
      <c r="D28" s="154"/>
      <c r="E28" s="154"/>
      <c r="F28" s="154"/>
      <c r="G28" s="154"/>
      <c r="H28" s="154"/>
      <c r="I28" s="154"/>
      <c r="J28" s="154"/>
      <c r="K28" s="154"/>
    </row>
    <row r="29" spans="1:11" x14ac:dyDescent="0.3">
      <c r="A29" s="116"/>
      <c r="B29" s="154"/>
      <c r="C29" s="154"/>
      <c r="D29" s="154"/>
      <c r="E29" s="154"/>
      <c r="F29" s="154"/>
      <c r="G29" s="154"/>
      <c r="H29" s="154"/>
      <c r="I29" s="154"/>
      <c r="J29" s="154"/>
      <c r="K29" s="154"/>
    </row>
    <row r="30" spans="1:11" x14ac:dyDescent="0.3">
      <c r="A30" s="116"/>
      <c r="B30" s="154"/>
      <c r="C30" s="154"/>
      <c r="D30" s="154"/>
      <c r="E30" s="154"/>
      <c r="F30" s="154"/>
      <c r="G30" s="154"/>
      <c r="H30" s="154"/>
      <c r="I30" s="154"/>
      <c r="J30" s="154"/>
      <c r="K30" s="154"/>
    </row>
    <row r="31" spans="1:11" x14ac:dyDescent="0.3">
      <c r="A31" s="116"/>
      <c r="B31" s="154"/>
      <c r="C31" s="154"/>
      <c r="D31" s="154"/>
      <c r="E31" s="154"/>
      <c r="F31" s="154"/>
      <c r="G31" s="154"/>
      <c r="H31" s="154"/>
      <c r="I31" s="154"/>
      <c r="J31" s="154"/>
      <c r="K31" s="154"/>
    </row>
    <row r="32" spans="1:11" x14ac:dyDescent="0.3">
      <c r="A32" s="116"/>
      <c r="B32" s="154"/>
      <c r="C32" s="154"/>
      <c r="D32" s="154"/>
      <c r="E32" s="154"/>
      <c r="F32" s="154"/>
      <c r="G32" s="154"/>
      <c r="H32" s="154"/>
      <c r="I32" s="154"/>
      <c r="J32" s="154"/>
      <c r="K32" s="154"/>
    </row>
    <row r="33" spans="1:11" x14ac:dyDescent="0.3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</row>
    <row r="34" spans="1:11" x14ac:dyDescent="0.3">
      <c r="A34" s="116">
        <v>2</v>
      </c>
      <c r="B34" s="116" t="s">
        <v>526</v>
      </c>
      <c r="C34" s="116"/>
      <c r="D34" s="116"/>
      <c r="E34" s="116"/>
      <c r="F34" s="116"/>
      <c r="G34" s="116"/>
      <c r="H34" s="116"/>
      <c r="I34" s="116"/>
      <c r="J34" s="116"/>
      <c r="K34" s="116"/>
    </row>
    <row r="35" spans="1:11" x14ac:dyDescent="0.3">
      <c r="A35" s="116"/>
      <c r="B35" s="116"/>
      <c r="C35" s="98" t="s">
        <v>468</v>
      </c>
      <c r="D35" s="98"/>
      <c r="E35" s="116"/>
      <c r="F35" s="116"/>
      <c r="G35" s="116"/>
      <c r="H35" s="116"/>
      <c r="I35" s="116"/>
      <c r="J35" s="116"/>
      <c r="K35" s="116"/>
    </row>
    <row r="36" spans="1:11" x14ac:dyDescent="0.3">
      <c r="A36" s="116"/>
      <c r="B36" s="99" t="s">
        <v>112</v>
      </c>
      <c r="C36" s="100">
        <f>VLOOKUP(B17,B8:E18,2,0)</f>
        <v>45</v>
      </c>
      <c r="D36" s="116"/>
      <c r="E36" s="116"/>
      <c r="F36" s="116"/>
      <c r="G36" s="116"/>
      <c r="H36" s="116"/>
      <c r="I36" s="116"/>
      <c r="J36" s="116"/>
      <c r="K36" s="116"/>
    </row>
    <row r="37" spans="1:11" x14ac:dyDescent="0.3">
      <c r="A37" s="116"/>
      <c r="B37" s="154"/>
      <c r="C37" s="154"/>
      <c r="D37" s="154"/>
      <c r="E37" s="154"/>
      <c r="F37" s="154"/>
      <c r="G37" s="154"/>
      <c r="H37" s="154"/>
      <c r="I37" s="154"/>
      <c r="J37" s="154"/>
      <c r="K37" s="154"/>
    </row>
    <row r="38" spans="1:11" x14ac:dyDescent="0.3">
      <c r="A38" s="116"/>
      <c r="B38" s="154"/>
      <c r="C38" s="154"/>
      <c r="D38" s="154"/>
      <c r="E38" s="154"/>
      <c r="F38" s="154"/>
      <c r="G38" s="154"/>
      <c r="H38" s="154"/>
      <c r="I38" s="154"/>
      <c r="J38" s="154"/>
      <c r="K38" s="154"/>
    </row>
    <row r="39" spans="1:11" x14ac:dyDescent="0.3">
      <c r="A39" s="116"/>
      <c r="B39" s="154"/>
      <c r="C39" s="154"/>
      <c r="D39" s="154"/>
      <c r="E39" s="154"/>
      <c r="F39" s="154"/>
      <c r="G39" s="154"/>
      <c r="H39" s="154"/>
      <c r="I39" s="154"/>
      <c r="J39" s="154"/>
      <c r="K39" s="154"/>
    </row>
    <row r="40" spans="1:11" x14ac:dyDescent="0.3">
      <c r="A40" s="116"/>
      <c r="B40" s="154"/>
      <c r="C40" s="154"/>
      <c r="D40" s="154"/>
      <c r="E40" s="154"/>
      <c r="F40" s="154"/>
      <c r="G40" s="154"/>
      <c r="H40" s="154"/>
      <c r="I40" s="154"/>
      <c r="J40" s="154"/>
      <c r="K40" s="154"/>
    </row>
    <row r="41" spans="1:11" x14ac:dyDescent="0.3">
      <c r="A41" s="116"/>
      <c r="B41" s="154"/>
      <c r="C41" s="154"/>
      <c r="D41" s="154"/>
      <c r="E41" s="154"/>
      <c r="F41" s="154"/>
      <c r="G41" s="154"/>
      <c r="H41" s="154"/>
      <c r="I41" s="154"/>
      <c r="J41" s="154"/>
      <c r="K41" s="154"/>
    </row>
    <row r="42" spans="1:11" x14ac:dyDescent="0.3">
      <c r="A42" s="116"/>
      <c r="B42" s="154"/>
      <c r="C42" s="154"/>
      <c r="D42" s="154"/>
      <c r="E42" s="154"/>
      <c r="F42" s="154"/>
      <c r="G42" s="154"/>
      <c r="H42" s="154"/>
      <c r="I42" s="154"/>
      <c r="J42" s="154"/>
      <c r="K42" s="154"/>
    </row>
    <row r="43" spans="1:11" x14ac:dyDescent="0.3">
      <c r="A43" s="116"/>
      <c r="B43" s="154"/>
      <c r="C43" s="154"/>
      <c r="D43" s="154"/>
      <c r="E43" s="154"/>
      <c r="F43" s="154"/>
      <c r="G43" s="154"/>
      <c r="H43" s="154"/>
      <c r="I43" s="154"/>
      <c r="J43" s="154"/>
      <c r="K43" s="154"/>
    </row>
    <row r="44" spans="1:11" x14ac:dyDescent="0.3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</row>
    <row r="45" spans="1:11" x14ac:dyDescent="0.3">
      <c r="A45" s="116">
        <v>2</v>
      </c>
      <c r="B45" s="116" t="s">
        <v>527</v>
      </c>
      <c r="C45" s="116"/>
      <c r="D45" s="116"/>
      <c r="E45" s="116"/>
      <c r="F45" s="116"/>
      <c r="G45" s="116"/>
      <c r="H45" s="116"/>
      <c r="I45" s="116"/>
      <c r="J45" s="116"/>
      <c r="K45" s="116"/>
    </row>
    <row r="46" spans="1:11" x14ac:dyDescent="0.3">
      <c r="A46" s="116"/>
      <c r="B46" s="116"/>
      <c r="C46" s="98" t="s">
        <v>468</v>
      </c>
      <c r="D46" s="98"/>
      <c r="E46" s="116"/>
      <c r="F46" s="116"/>
      <c r="G46" s="116"/>
      <c r="H46" s="116"/>
      <c r="I46" s="116"/>
      <c r="J46" s="116"/>
      <c r="K46" s="116"/>
    </row>
    <row r="47" spans="1:11" x14ac:dyDescent="0.3">
      <c r="A47" s="116"/>
      <c r="B47" s="99" t="s">
        <v>112</v>
      </c>
      <c r="C47" s="100" t="str">
        <f>VLOOKUP("b*",B8:E18,4,0)</f>
        <v>Accountant</v>
      </c>
      <c r="D47" s="116"/>
      <c r="E47" s="116"/>
      <c r="F47" s="116"/>
      <c r="G47" s="116"/>
      <c r="H47" s="116"/>
      <c r="I47" s="116"/>
      <c r="J47" s="116"/>
      <c r="K47" s="116"/>
    </row>
    <row r="48" spans="1:11" x14ac:dyDescent="0.3">
      <c r="A48" s="116"/>
      <c r="B48" s="154"/>
      <c r="C48" s="154"/>
      <c r="D48" s="154"/>
      <c r="E48" s="154"/>
      <c r="F48" s="154"/>
      <c r="G48" s="154"/>
      <c r="H48" s="154"/>
      <c r="I48" s="154"/>
      <c r="J48" s="154"/>
      <c r="K48" s="154"/>
    </row>
    <row r="49" spans="1:11" x14ac:dyDescent="0.3">
      <c r="A49" s="116"/>
      <c r="B49" s="154"/>
      <c r="C49" s="154"/>
      <c r="D49" s="154"/>
      <c r="E49" s="154"/>
      <c r="F49" s="154"/>
      <c r="G49" s="154"/>
      <c r="H49" s="154"/>
      <c r="I49" s="154"/>
      <c r="J49" s="154"/>
      <c r="K49" s="154"/>
    </row>
    <row r="50" spans="1:11" x14ac:dyDescent="0.3">
      <c r="A50" s="116"/>
      <c r="B50" s="154"/>
      <c r="C50" s="154"/>
      <c r="D50" s="154"/>
      <c r="E50" s="154"/>
      <c r="F50" s="154"/>
      <c r="G50" s="154"/>
      <c r="H50" s="154"/>
      <c r="I50" s="154"/>
      <c r="J50" s="154"/>
      <c r="K50" s="154"/>
    </row>
    <row r="51" spans="1:11" x14ac:dyDescent="0.3">
      <c r="A51" s="116"/>
      <c r="B51" s="154"/>
      <c r="C51" s="154"/>
      <c r="D51" s="154"/>
      <c r="E51" s="154"/>
      <c r="F51" s="154"/>
      <c r="G51" s="154"/>
      <c r="H51" s="154"/>
      <c r="I51" s="154"/>
      <c r="J51" s="154"/>
      <c r="K51" s="154"/>
    </row>
    <row r="52" spans="1:11" x14ac:dyDescent="0.3">
      <c r="A52" s="116"/>
      <c r="B52" s="154"/>
      <c r="C52" s="154"/>
      <c r="D52" s="154"/>
      <c r="E52" s="154"/>
      <c r="F52" s="154"/>
      <c r="G52" s="154"/>
      <c r="H52" s="154"/>
      <c r="I52" s="154"/>
      <c r="J52" s="154"/>
      <c r="K52" s="154"/>
    </row>
    <row r="53" spans="1:11" x14ac:dyDescent="0.3">
      <c r="A53" s="116"/>
      <c r="B53" s="154"/>
      <c r="C53" s="154"/>
      <c r="D53" s="154"/>
      <c r="E53" s="154"/>
      <c r="F53" s="154"/>
      <c r="G53" s="154"/>
      <c r="H53" s="154"/>
      <c r="I53" s="154"/>
      <c r="J53" s="154"/>
      <c r="K53" s="154"/>
    </row>
    <row r="54" spans="1:11" x14ac:dyDescent="0.3">
      <c r="A54" s="116"/>
      <c r="B54" s="154"/>
      <c r="C54" s="154"/>
      <c r="D54" s="154"/>
      <c r="E54" s="154"/>
      <c r="F54" s="154"/>
      <c r="G54" s="154"/>
      <c r="H54" s="154"/>
      <c r="I54" s="154"/>
      <c r="J54" s="154"/>
      <c r="K54" s="154"/>
    </row>
    <row r="55" spans="1:11" x14ac:dyDescent="0.3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</row>
    <row r="56" spans="1:11" x14ac:dyDescent="0.3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</row>
  </sheetData>
  <mergeCells count="3">
    <mergeCell ref="B26:K32"/>
    <mergeCell ref="B37:K43"/>
    <mergeCell ref="B48:K5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DD7B-DAC5-4AB9-8358-C90A4998AADA}">
  <dimension ref="A4:D23"/>
  <sheetViews>
    <sheetView workbookViewId="0">
      <selection activeCell="A3" sqref="A3"/>
    </sheetView>
  </sheetViews>
  <sheetFormatPr defaultRowHeight="14.4" x14ac:dyDescent="0.3"/>
  <sheetData>
    <row r="4" spans="1:4" x14ac:dyDescent="0.3">
      <c r="A4" s="66" t="s">
        <v>530</v>
      </c>
      <c r="B4" s="66" t="s">
        <v>531</v>
      </c>
      <c r="C4" s="66">
        <v>50000</v>
      </c>
      <c r="D4" s="66">
        <v>30</v>
      </c>
    </row>
    <row r="5" spans="1:4" x14ac:dyDescent="0.3">
      <c r="A5" s="66" t="s">
        <v>532</v>
      </c>
      <c r="B5" s="66" t="s">
        <v>533</v>
      </c>
      <c r="C5" s="66">
        <v>60000</v>
      </c>
      <c r="D5" s="66">
        <v>35</v>
      </c>
    </row>
    <row r="6" spans="1:4" x14ac:dyDescent="0.3">
      <c r="A6" s="66" t="s">
        <v>534</v>
      </c>
      <c r="B6" s="66" t="s">
        <v>535</v>
      </c>
      <c r="C6" s="66">
        <v>75000</v>
      </c>
      <c r="D6" s="66">
        <v>40</v>
      </c>
    </row>
    <row r="7" spans="1:4" x14ac:dyDescent="0.3">
      <c r="A7" s="66" t="s">
        <v>536</v>
      </c>
      <c r="B7" s="66" t="s">
        <v>537</v>
      </c>
      <c r="C7" s="66">
        <v>55000</v>
      </c>
      <c r="D7" s="66">
        <v>28</v>
      </c>
    </row>
    <row r="8" spans="1:4" x14ac:dyDescent="0.3">
      <c r="A8" s="66" t="s">
        <v>538</v>
      </c>
      <c r="B8" s="66" t="s">
        <v>539</v>
      </c>
      <c r="C8" s="66">
        <v>80000</v>
      </c>
      <c r="D8" s="66">
        <v>45</v>
      </c>
    </row>
    <row r="9" spans="1:4" x14ac:dyDescent="0.3">
      <c r="A9" s="66" t="s">
        <v>540</v>
      </c>
      <c r="B9" s="66" t="s">
        <v>541</v>
      </c>
      <c r="C9" s="66">
        <v>65000</v>
      </c>
      <c r="D9" s="66">
        <v>33</v>
      </c>
    </row>
    <row r="10" spans="1:4" x14ac:dyDescent="0.3">
      <c r="A10" s="66" t="s">
        <v>542</v>
      </c>
      <c r="B10" s="66" t="s">
        <v>543</v>
      </c>
      <c r="C10" s="66">
        <v>70000</v>
      </c>
      <c r="D10" s="66">
        <v>38</v>
      </c>
    </row>
    <row r="11" spans="1:4" x14ac:dyDescent="0.3">
      <c r="A11" s="66" t="s">
        <v>544</v>
      </c>
      <c r="B11" s="66" t="s">
        <v>545</v>
      </c>
      <c r="C11" s="66">
        <v>60000</v>
      </c>
      <c r="D11" s="66">
        <v>32</v>
      </c>
    </row>
    <row r="12" spans="1:4" x14ac:dyDescent="0.3">
      <c r="A12" s="66" t="s">
        <v>546</v>
      </c>
      <c r="B12" s="66" t="s">
        <v>547</v>
      </c>
      <c r="C12" s="66">
        <v>85000</v>
      </c>
      <c r="D12" s="66">
        <v>42</v>
      </c>
    </row>
    <row r="13" spans="1:4" x14ac:dyDescent="0.3">
      <c r="A13" s="66" t="s">
        <v>548</v>
      </c>
      <c r="B13" s="66" t="s">
        <v>549</v>
      </c>
      <c r="C13" s="66">
        <v>70000</v>
      </c>
      <c r="D13" s="66">
        <v>36</v>
      </c>
    </row>
    <row r="14" spans="1:4" x14ac:dyDescent="0.3">
      <c r="A14" s="66" t="s">
        <v>550</v>
      </c>
      <c r="B14" s="66" t="s">
        <v>551</v>
      </c>
      <c r="C14" s="66">
        <v>60000</v>
      </c>
      <c r="D14" s="66">
        <v>31</v>
      </c>
    </row>
    <row r="15" spans="1:4" x14ac:dyDescent="0.3">
      <c r="A15" s="66" t="s">
        <v>552</v>
      </c>
      <c r="B15" s="66" t="s">
        <v>553</v>
      </c>
      <c r="C15" s="66">
        <v>55000</v>
      </c>
      <c r="D15" s="66">
        <v>29</v>
      </c>
    </row>
    <row r="16" spans="1:4" x14ac:dyDescent="0.3">
      <c r="A16" s="66" t="s">
        <v>554</v>
      </c>
      <c r="B16" s="66" t="s">
        <v>533</v>
      </c>
      <c r="C16" s="66">
        <v>90000</v>
      </c>
      <c r="D16" s="66">
        <v>48</v>
      </c>
    </row>
    <row r="17" spans="1:4" x14ac:dyDescent="0.3">
      <c r="A17" s="66" t="s">
        <v>555</v>
      </c>
      <c r="B17" s="66" t="s">
        <v>556</v>
      </c>
      <c r="C17" s="66">
        <v>65000</v>
      </c>
      <c r="D17" s="66">
        <v>34</v>
      </c>
    </row>
    <row r="18" spans="1:4" x14ac:dyDescent="0.3">
      <c r="A18" s="66" t="s">
        <v>557</v>
      </c>
      <c r="B18" s="66" t="s">
        <v>558</v>
      </c>
      <c r="C18" s="66">
        <v>75000</v>
      </c>
      <c r="D18" s="66">
        <v>39</v>
      </c>
    </row>
    <row r="19" spans="1:4" x14ac:dyDescent="0.3">
      <c r="A19" s="66" t="s">
        <v>559</v>
      </c>
      <c r="B19" s="66" t="s">
        <v>560</v>
      </c>
      <c r="C19" s="66">
        <v>70000</v>
      </c>
      <c r="D19" s="66">
        <v>37</v>
      </c>
    </row>
    <row r="20" spans="1:4" x14ac:dyDescent="0.3">
      <c r="A20" s="66" t="s">
        <v>561</v>
      </c>
      <c r="B20" s="66" t="s">
        <v>562</v>
      </c>
      <c r="C20" s="66">
        <v>80000</v>
      </c>
      <c r="D20" s="66">
        <v>41</v>
      </c>
    </row>
    <row r="21" spans="1:4" x14ac:dyDescent="0.3">
      <c r="A21" s="66" t="s">
        <v>563</v>
      </c>
      <c r="B21" s="66" t="s">
        <v>564</v>
      </c>
      <c r="C21" s="66">
        <v>60000</v>
      </c>
      <c r="D21" s="66">
        <v>33</v>
      </c>
    </row>
    <row r="22" spans="1:4" x14ac:dyDescent="0.3">
      <c r="A22" s="66" t="s">
        <v>565</v>
      </c>
      <c r="B22" s="66" t="s">
        <v>566</v>
      </c>
      <c r="C22" s="66">
        <v>70000</v>
      </c>
      <c r="D22" s="66">
        <v>38</v>
      </c>
    </row>
    <row r="23" spans="1:4" x14ac:dyDescent="0.3">
      <c r="A23" s="66" t="s">
        <v>567</v>
      </c>
      <c r="B23" s="66" t="s">
        <v>568</v>
      </c>
      <c r="C23" s="66">
        <v>65000</v>
      </c>
      <c r="D23" s="66">
        <v>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1A63-5140-40BD-8B10-E96C7181387E}">
  <dimension ref="A4:L24"/>
  <sheetViews>
    <sheetView workbookViewId="0">
      <selection activeCell="G17" activeCellId="1" sqref="J14 G17"/>
    </sheetView>
  </sheetViews>
  <sheetFormatPr defaultRowHeight="14.4" x14ac:dyDescent="0.3"/>
  <cols>
    <col min="2" max="2" width="14.21875" bestFit="1" customWidth="1"/>
    <col min="12" max="12" width="48.88671875" customWidth="1"/>
  </cols>
  <sheetData>
    <row r="4" spans="1:12" x14ac:dyDescent="0.3">
      <c r="A4" s="125" t="s">
        <v>528</v>
      </c>
      <c r="B4" s="125" t="s">
        <v>1</v>
      </c>
      <c r="C4" s="126" t="s">
        <v>609</v>
      </c>
      <c r="D4" s="125" t="s">
        <v>529</v>
      </c>
      <c r="E4" s="125" t="s">
        <v>610</v>
      </c>
      <c r="F4" s="125" t="s">
        <v>611</v>
      </c>
      <c r="G4" s="127" t="s">
        <v>612</v>
      </c>
    </row>
    <row r="5" spans="1:12" x14ac:dyDescent="0.3">
      <c r="A5" s="122">
        <v>11280</v>
      </c>
      <c r="B5" s="122" t="s">
        <v>569</v>
      </c>
      <c r="C5" s="123" t="s">
        <v>570</v>
      </c>
      <c r="D5" s="122">
        <v>15</v>
      </c>
      <c r="E5" s="122">
        <v>30000</v>
      </c>
      <c r="F5" s="122">
        <v>450000</v>
      </c>
      <c r="G5" s="66">
        <f>IF(D5&gt;20,F5*0.8,F5)</f>
        <v>450000</v>
      </c>
    </row>
    <row r="6" spans="1:12" x14ac:dyDescent="0.3">
      <c r="A6" s="122">
        <v>11281</v>
      </c>
      <c r="B6" s="122" t="s">
        <v>571</v>
      </c>
      <c r="C6" s="123" t="s">
        <v>572</v>
      </c>
      <c r="D6" s="122">
        <v>10</v>
      </c>
      <c r="E6" s="122">
        <v>25000</v>
      </c>
      <c r="F6" s="122">
        <v>250000</v>
      </c>
      <c r="G6" s="66">
        <f t="shared" ref="G6:G23" si="0">IF(D6&gt;20,F6*0.8,F6)</f>
        <v>250000</v>
      </c>
    </row>
    <row r="7" spans="1:12" x14ac:dyDescent="0.3">
      <c r="A7" s="122">
        <v>11282</v>
      </c>
      <c r="B7" s="122" t="s">
        <v>573</v>
      </c>
      <c r="C7" s="123" t="s">
        <v>574</v>
      </c>
      <c r="D7" s="122">
        <v>150</v>
      </c>
      <c r="E7" s="122">
        <v>28000</v>
      </c>
      <c r="F7" s="122">
        <v>4200000</v>
      </c>
      <c r="G7" s="66">
        <f t="shared" si="0"/>
        <v>3360000</v>
      </c>
      <c r="K7" s="66" t="s">
        <v>599</v>
      </c>
      <c r="L7" s="124" t="s">
        <v>600</v>
      </c>
    </row>
    <row r="8" spans="1:12" x14ac:dyDescent="0.3">
      <c r="A8" s="122">
        <v>11283</v>
      </c>
      <c r="B8" s="122" t="s">
        <v>575</v>
      </c>
      <c r="C8" s="123" t="s">
        <v>576</v>
      </c>
      <c r="D8" s="122">
        <v>12</v>
      </c>
      <c r="E8" s="122">
        <v>30000</v>
      </c>
      <c r="F8" s="122">
        <v>360000</v>
      </c>
      <c r="G8" s="66">
        <f t="shared" si="0"/>
        <v>360000</v>
      </c>
      <c r="K8" s="66" t="s">
        <v>601</v>
      </c>
      <c r="L8" s="124" t="s">
        <v>602</v>
      </c>
    </row>
    <row r="9" spans="1:12" x14ac:dyDescent="0.3">
      <c r="A9" s="122">
        <v>11284</v>
      </c>
      <c r="B9" s="122" t="s">
        <v>577</v>
      </c>
      <c r="C9" s="123" t="s">
        <v>578</v>
      </c>
      <c r="D9" s="122">
        <v>20</v>
      </c>
      <c r="E9" s="122">
        <v>30000</v>
      </c>
      <c r="F9" s="122">
        <v>600000</v>
      </c>
      <c r="G9" s="66">
        <f t="shared" si="0"/>
        <v>600000</v>
      </c>
      <c r="K9" s="66" t="s">
        <v>603</v>
      </c>
      <c r="L9" s="124" t="s">
        <v>604</v>
      </c>
    </row>
    <row r="10" spans="1:12" x14ac:dyDescent="0.3">
      <c r="A10" s="122">
        <v>11285</v>
      </c>
      <c r="B10" s="122" t="s">
        <v>579</v>
      </c>
      <c r="C10" s="123" t="s">
        <v>580</v>
      </c>
      <c r="D10" s="122">
        <v>20</v>
      </c>
      <c r="E10" s="122">
        <v>26000</v>
      </c>
      <c r="F10" s="122">
        <v>520000</v>
      </c>
      <c r="G10" s="66">
        <f t="shared" si="0"/>
        <v>520000</v>
      </c>
      <c r="K10" s="66" t="s">
        <v>605</v>
      </c>
      <c r="L10" s="124" t="s">
        <v>606</v>
      </c>
    </row>
    <row r="11" spans="1:12" ht="15.6" customHeight="1" x14ac:dyDescent="0.3">
      <c r="A11" s="122">
        <v>11286</v>
      </c>
      <c r="B11" s="122" t="s">
        <v>581</v>
      </c>
      <c r="C11" s="123" t="s">
        <v>582</v>
      </c>
      <c r="D11" s="122">
        <v>2</v>
      </c>
      <c r="E11" s="122">
        <v>30000</v>
      </c>
      <c r="F11" s="122">
        <v>60000</v>
      </c>
      <c r="G11" s="66">
        <f t="shared" si="0"/>
        <v>60000</v>
      </c>
      <c r="K11" s="66" t="s">
        <v>607</v>
      </c>
      <c r="L11" s="124" t="s">
        <v>608</v>
      </c>
    </row>
    <row r="12" spans="1:12" x14ac:dyDescent="0.3">
      <c r="A12" s="122">
        <v>11287</v>
      </c>
      <c r="B12" s="122" t="s">
        <v>583</v>
      </c>
      <c r="C12" s="123" t="s">
        <v>584</v>
      </c>
      <c r="D12" s="122">
        <v>5</v>
      </c>
      <c r="E12" s="122">
        <v>35000</v>
      </c>
      <c r="F12" s="122">
        <v>175000</v>
      </c>
      <c r="G12" s="66">
        <f t="shared" si="0"/>
        <v>175000</v>
      </c>
    </row>
    <row r="13" spans="1:12" x14ac:dyDescent="0.3">
      <c r="A13" s="122">
        <v>11288</v>
      </c>
      <c r="B13" s="122" t="s">
        <v>585</v>
      </c>
      <c r="C13" s="123" t="s">
        <v>586</v>
      </c>
      <c r="D13" s="122">
        <v>80</v>
      </c>
      <c r="E13" s="122">
        <v>30000</v>
      </c>
      <c r="F13" s="122">
        <v>2400000</v>
      </c>
      <c r="G13" s="66">
        <f t="shared" si="0"/>
        <v>1920000</v>
      </c>
    </row>
    <row r="14" spans="1:12" x14ac:dyDescent="0.3">
      <c r="A14" s="122">
        <v>11289</v>
      </c>
      <c r="B14" s="122" t="s">
        <v>587</v>
      </c>
      <c r="C14" s="123" t="s">
        <v>588</v>
      </c>
      <c r="D14" s="122">
        <v>100</v>
      </c>
      <c r="E14" s="122">
        <v>26000</v>
      </c>
      <c r="F14" s="122">
        <v>2600000</v>
      </c>
      <c r="G14" s="66">
        <f t="shared" si="0"/>
        <v>2080000</v>
      </c>
    </row>
    <row r="15" spans="1:12" x14ac:dyDescent="0.3">
      <c r="A15" s="122">
        <v>11290</v>
      </c>
      <c r="B15" s="122" t="s">
        <v>589</v>
      </c>
      <c r="C15" s="123" t="s">
        <v>590</v>
      </c>
      <c r="D15" s="122">
        <v>20</v>
      </c>
      <c r="E15" s="122">
        <v>35000</v>
      </c>
      <c r="F15" s="122">
        <v>700000</v>
      </c>
      <c r="G15" s="66">
        <f t="shared" si="0"/>
        <v>700000</v>
      </c>
    </row>
    <row r="16" spans="1:12" x14ac:dyDescent="0.3">
      <c r="A16" s="122">
        <v>11291</v>
      </c>
      <c r="B16" s="122" t="s">
        <v>591</v>
      </c>
      <c r="C16" s="123" t="s">
        <v>592</v>
      </c>
      <c r="D16" s="122">
        <v>25</v>
      </c>
      <c r="E16" s="122">
        <v>40000</v>
      </c>
      <c r="F16" s="122">
        <v>1000000</v>
      </c>
      <c r="G16" s="66">
        <f t="shared" si="0"/>
        <v>800000</v>
      </c>
    </row>
    <row r="17" spans="1:7" x14ac:dyDescent="0.3">
      <c r="A17" s="122">
        <v>11292</v>
      </c>
      <c r="B17" s="122" t="s">
        <v>593</v>
      </c>
      <c r="C17" s="123" t="s">
        <v>574</v>
      </c>
      <c r="D17" s="122">
        <v>10</v>
      </c>
      <c r="E17" s="122">
        <v>28000</v>
      </c>
      <c r="F17" s="122">
        <v>280000</v>
      </c>
      <c r="G17" s="66">
        <f t="shared" si="0"/>
        <v>280000</v>
      </c>
    </row>
    <row r="18" spans="1:7" x14ac:dyDescent="0.3">
      <c r="A18" s="122">
        <v>11293</v>
      </c>
      <c r="B18" s="122" t="s">
        <v>594</v>
      </c>
      <c r="C18" s="123" t="s">
        <v>576</v>
      </c>
      <c r="D18" s="122">
        <v>10</v>
      </c>
      <c r="E18" s="122">
        <v>30000</v>
      </c>
      <c r="F18" s="122">
        <v>300000</v>
      </c>
      <c r="G18" s="66">
        <f t="shared" si="0"/>
        <v>300000</v>
      </c>
    </row>
    <row r="19" spans="1:7" x14ac:dyDescent="0.3">
      <c r="A19" s="122">
        <v>11294</v>
      </c>
      <c r="B19" s="122" t="s">
        <v>595</v>
      </c>
      <c r="C19" s="123" t="s">
        <v>578</v>
      </c>
      <c r="D19" s="122">
        <v>5</v>
      </c>
      <c r="E19" s="122">
        <v>30000</v>
      </c>
      <c r="F19" s="122">
        <v>150000</v>
      </c>
      <c r="G19" s="66">
        <f t="shared" si="0"/>
        <v>150000</v>
      </c>
    </row>
    <row r="20" spans="1:7" x14ac:dyDescent="0.3">
      <c r="A20" s="122">
        <v>11295</v>
      </c>
      <c r="B20" s="122" t="s">
        <v>596</v>
      </c>
      <c r="C20" s="123" t="s">
        <v>580</v>
      </c>
      <c r="D20" s="122">
        <v>180</v>
      </c>
      <c r="E20" s="122">
        <v>26000</v>
      </c>
      <c r="F20" s="122">
        <v>4680000</v>
      </c>
      <c r="G20" s="66">
        <f t="shared" si="0"/>
        <v>3744000</v>
      </c>
    </row>
    <row r="21" spans="1:7" x14ac:dyDescent="0.3">
      <c r="A21" s="122">
        <v>11296</v>
      </c>
      <c r="B21" s="122" t="s">
        <v>597</v>
      </c>
      <c r="C21" s="123" t="s">
        <v>582</v>
      </c>
      <c r="D21" s="122">
        <v>5</v>
      </c>
      <c r="E21" s="122">
        <v>30000</v>
      </c>
      <c r="F21" s="122">
        <v>150000</v>
      </c>
      <c r="G21" s="66">
        <f t="shared" si="0"/>
        <v>150000</v>
      </c>
    </row>
    <row r="22" spans="1:7" x14ac:dyDescent="0.3">
      <c r="A22" s="122">
        <v>11297</v>
      </c>
      <c r="B22" s="122" t="s">
        <v>598</v>
      </c>
      <c r="C22" s="123" t="s">
        <v>584</v>
      </c>
      <c r="D22" s="122">
        <v>250</v>
      </c>
      <c r="E22" s="122">
        <v>35000</v>
      </c>
      <c r="F22" s="122">
        <v>8750000</v>
      </c>
      <c r="G22" s="66">
        <f t="shared" si="0"/>
        <v>7000000</v>
      </c>
    </row>
    <row r="23" spans="1:7" x14ac:dyDescent="0.3">
      <c r="A23" s="122">
        <v>11297</v>
      </c>
      <c r="B23" s="122" t="s">
        <v>598</v>
      </c>
      <c r="C23" s="123" t="s">
        <v>584</v>
      </c>
      <c r="D23" s="122">
        <v>250</v>
      </c>
      <c r="E23" s="122">
        <v>35000</v>
      </c>
      <c r="F23" s="122">
        <v>8750000</v>
      </c>
      <c r="G23" s="66">
        <f t="shared" si="0"/>
        <v>7000000</v>
      </c>
    </row>
    <row r="24" spans="1:7" x14ac:dyDescent="0.3">
      <c r="A24" s="28"/>
      <c r="B24" s="28"/>
      <c r="C24" s="9"/>
      <c r="D24" s="28"/>
      <c r="E24" s="28"/>
      <c r="F24" s="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97EA63-D361-4F48-A716-ACD2149166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AVERAGE 1 - Question</vt:lpstr>
      <vt:lpstr>AVERAGE 3</vt:lpstr>
      <vt:lpstr>COUNT 1</vt:lpstr>
      <vt:lpstr>COUNT 2</vt:lpstr>
      <vt:lpstr>COUNT 3</vt:lpstr>
      <vt:lpstr>HLOOKUP</vt:lpstr>
      <vt:lpstr>IF 1</vt:lpstr>
      <vt:lpstr>IF 2</vt:lpstr>
      <vt:lpstr>IF 3</vt:lpstr>
      <vt:lpstr>IF 4</vt:lpstr>
      <vt:lpstr>MATH 1</vt:lpstr>
      <vt:lpstr>MAX MIN 1</vt:lpstr>
      <vt:lpstr>MAX MIN 2</vt:lpstr>
      <vt:lpstr>MAX MIN 3</vt:lpstr>
      <vt:lpstr>NESTED IF</vt:lpstr>
      <vt:lpstr>SUM 1</vt:lpstr>
      <vt:lpstr>SUM 2</vt:lpstr>
      <vt:lpstr>SUM 3</vt:lpstr>
      <vt:lpstr>SUM IF 1</vt:lpstr>
      <vt:lpstr>SUM IF 2</vt:lpstr>
      <vt:lpstr>vlookup approximate match</vt:lpstr>
      <vt:lpstr>vlookup 1</vt:lpstr>
      <vt:lpstr>vlookup 2a</vt:lpstr>
      <vt:lpstr>macros</vt:lpstr>
      <vt:lpstr>VBA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suraj rajput</cp:lastModifiedBy>
  <cp:revision/>
  <dcterms:created xsi:type="dcterms:W3CDTF">2021-05-15T17:54:01Z</dcterms:created>
  <dcterms:modified xsi:type="dcterms:W3CDTF">2025-01-01T10:25:33Z</dcterms:modified>
  <cp:category/>
  <cp:contentStatus/>
</cp:coreProperties>
</file>