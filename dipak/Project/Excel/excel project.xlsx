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https://d.docs.live.net/2aa31bb404222563/Desktop/dipak/Project/Excel/"/>
    </mc:Choice>
  </mc:AlternateContent>
  <xr:revisionPtr revIDLastSave="267" documentId="13_ncr:1_{F79B86A6-CA7F-47DF-BA7F-7FDD589EC83F}" xr6:coauthVersionLast="47" xr6:coauthVersionMax="47" xr10:uidLastSave="{CDAECF89-F875-4F41-ADB3-94E008E6C95E}"/>
  <bookViews>
    <workbookView xWindow="-108" yWindow="-108" windowWidth="23256" windowHeight="12456" firstSheet="1" activeTab="3" xr2:uid="{F70462BF-F63E-4610-94A8-D92658A9D148}"/>
  </bookViews>
  <sheets>
    <sheet name="based on customer" sheetId="15" state="hidden" r:id="rId1"/>
    <sheet name="Sheet4" sheetId="23" r:id="rId2"/>
    <sheet name="Sheet5" sheetId="24" r:id="rId3"/>
    <sheet name="Sheet6" sheetId="25" r:id="rId4"/>
  </sheets>
  <definedNames>
    <definedName name="Slicer_Customer_Name">#N/A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0" i="23" l="1"/>
  <c r="B239" i="23"/>
  <c r="B238" i="23"/>
  <c r="B237" i="23"/>
  <c r="B236" i="23"/>
  <c r="B235" i="23"/>
  <c r="B234" i="23"/>
  <c r="B233" i="23"/>
  <c r="B232" i="23"/>
  <c r="B231" i="23"/>
  <c r="B230" i="23"/>
  <c r="B229" i="23"/>
  <c r="B228" i="23"/>
  <c r="B227" i="23"/>
  <c r="B226" i="23"/>
  <c r="B225" i="23"/>
  <c r="B224" i="23"/>
  <c r="B223" i="23"/>
  <c r="B222" i="23"/>
  <c r="B221" i="23"/>
  <c r="B220" i="23"/>
  <c r="B219" i="23"/>
  <c r="B218" i="23"/>
  <c r="B217" i="23"/>
  <c r="B216" i="23"/>
  <c r="B215" i="23"/>
  <c r="B214" i="23"/>
  <c r="B213" i="23"/>
  <c r="B212" i="23"/>
  <c r="B211" i="23"/>
  <c r="B210" i="23"/>
  <c r="B209" i="23"/>
  <c r="B208" i="23"/>
  <c r="B207" i="23"/>
  <c r="B206" i="23"/>
  <c r="B205" i="23"/>
  <c r="B204" i="23"/>
  <c r="B203" i="23"/>
  <c r="B202" i="23"/>
  <c r="B201" i="23"/>
  <c r="B200" i="23"/>
  <c r="B199" i="23"/>
  <c r="B198" i="23"/>
  <c r="B197" i="23"/>
  <c r="B196" i="23"/>
  <c r="B195" i="23"/>
  <c r="B194" i="23"/>
  <c r="B193" i="23"/>
  <c r="B192" i="23"/>
  <c r="B191" i="23"/>
  <c r="B190" i="23"/>
  <c r="B189" i="23"/>
  <c r="B188" i="23"/>
  <c r="B187" i="23"/>
  <c r="B186" i="23"/>
  <c r="B185" i="23"/>
  <c r="B184" i="23"/>
  <c r="B183" i="23"/>
  <c r="B182" i="23"/>
  <c r="B181" i="23"/>
  <c r="B180" i="23"/>
  <c r="B179" i="23"/>
  <c r="B178" i="23"/>
  <c r="B177" i="23"/>
  <c r="B176" i="23"/>
  <c r="B175" i="23"/>
  <c r="B174" i="23"/>
  <c r="B173" i="23"/>
  <c r="B172" i="23"/>
  <c r="B171" i="23"/>
  <c r="B170" i="23"/>
  <c r="B169" i="23"/>
  <c r="B168" i="23"/>
  <c r="B167" i="23"/>
  <c r="B166" i="23"/>
  <c r="B165" i="23"/>
  <c r="B164" i="23"/>
  <c r="B163" i="23"/>
  <c r="B162" i="23"/>
  <c r="B161" i="23"/>
  <c r="B160" i="23"/>
  <c r="B159" i="23"/>
  <c r="B158" i="23"/>
  <c r="B157" i="23"/>
  <c r="B156" i="23"/>
  <c r="B155" i="23"/>
  <c r="B154" i="23"/>
  <c r="B153" i="23"/>
  <c r="B152" i="23"/>
  <c r="B151" i="23"/>
  <c r="B150" i="23"/>
  <c r="B149" i="23"/>
  <c r="B148" i="23"/>
  <c r="B147" i="23"/>
  <c r="B146" i="23"/>
  <c r="B145" i="23"/>
  <c r="B144" i="23"/>
  <c r="B143" i="23"/>
  <c r="B142" i="23"/>
  <c r="B141" i="23"/>
  <c r="B140" i="23"/>
  <c r="B139" i="23"/>
  <c r="B138" i="23"/>
  <c r="B137" i="23"/>
  <c r="B136" i="23"/>
  <c r="B135" i="23"/>
  <c r="B134" i="23"/>
  <c r="B133" i="23"/>
  <c r="B132" i="23"/>
  <c r="B131" i="23"/>
  <c r="B130" i="23"/>
  <c r="B129" i="23"/>
  <c r="B128" i="23"/>
  <c r="B127" i="23"/>
  <c r="B126" i="23"/>
  <c r="B125" i="23"/>
  <c r="B124" i="23"/>
  <c r="B123" i="23"/>
  <c r="B122" i="23"/>
  <c r="B121" i="23"/>
  <c r="B120" i="23"/>
  <c r="B119" i="23"/>
  <c r="B118" i="23"/>
  <c r="B117" i="23"/>
  <c r="B116" i="23"/>
  <c r="B115" i="23"/>
  <c r="B114" i="23"/>
  <c r="B113" i="23"/>
  <c r="B112" i="23"/>
  <c r="B111" i="23"/>
  <c r="B110" i="23"/>
  <c r="B109" i="23"/>
  <c r="B108" i="23"/>
  <c r="B107" i="23"/>
  <c r="B106" i="23"/>
  <c r="B105" i="23"/>
  <c r="B104" i="23"/>
  <c r="B103" i="23"/>
  <c r="B102" i="23"/>
  <c r="B101" i="23"/>
  <c r="B100" i="23"/>
  <c r="B99" i="23"/>
  <c r="B98" i="23"/>
  <c r="B97" i="23"/>
  <c r="B96" i="23"/>
  <c r="B95" i="23"/>
  <c r="B94" i="23"/>
  <c r="B93" i="23"/>
  <c r="B92" i="23"/>
  <c r="B91" i="23"/>
  <c r="B90" i="23"/>
  <c r="B89" i="23"/>
  <c r="B88" i="23"/>
  <c r="B87" i="23"/>
  <c r="B86" i="23"/>
  <c r="B85" i="23"/>
  <c r="B84" i="23"/>
  <c r="B83" i="23"/>
  <c r="B82" i="23"/>
  <c r="B81" i="23"/>
  <c r="B80" i="23"/>
  <c r="B79" i="23"/>
  <c r="B78" i="23"/>
  <c r="B77" i="23"/>
  <c r="B76" i="23"/>
  <c r="B75" i="23"/>
  <c r="B74" i="23"/>
  <c r="B73" i="23"/>
  <c r="B72" i="23"/>
  <c r="B71" i="23"/>
  <c r="B70" i="23"/>
  <c r="B69" i="23"/>
  <c r="B68" i="23"/>
  <c r="B67" i="23"/>
  <c r="B66" i="23"/>
  <c r="B65" i="23"/>
  <c r="B64" i="23"/>
  <c r="B63" i="23"/>
  <c r="B62" i="23"/>
  <c r="B61" i="23"/>
  <c r="B60" i="23"/>
  <c r="B59" i="23"/>
  <c r="B58" i="23"/>
  <c r="B57" i="23"/>
  <c r="B56" i="23"/>
  <c r="B55" i="23"/>
  <c r="B54" i="23"/>
  <c r="B53" i="23"/>
  <c r="B52" i="23"/>
  <c r="B51" i="23"/>
  <c r="B50" i="23"/>
  <c r="B49" i="23"/>
  <c r="B48" i="23"/>
  <c r="B47" i="23"/>
  <c r="B46" i="23"/>
  <c r="B45" i="23"/>
  <c r="B44" i="23"/>
  <c r="B43" i="23"/>
  <c r="B42" i="23"/>
  <c r="B41" i="23"/>
  <c r="B40" i="23"/>
  <c r="B39" i="23"/>
  <c r="B38" i="23"/>
  <c r="B37" i="23"/>
  <c r="B36" i="23"/>
  <c r="B35" i="23"/>
  <c r="B34" i="23"/>
  <c r="B33" i="23"/>
  <c r="B32" i="23"/>
  <c r="B31" i="23"/>
  <c r="B30" i="23"/>
  <c r="B29" i="23"/>
  <c r="B28" i="23"/>
  <c r="B27" i="23"/>
  <c r="B26" i="23"/>
  <c r="B25" i="23"/>
  <c r="B24" i="23"/>
  <c r="B23" i="23"/>
  <c r="B22" i="23"/>
  <c r="B21" i="23"/>
  <c r="B20" i="23"/>
  <c r="B19" i="23"/>
  <c r="B18" i="23"/>
  <c r="B17" i="23"/>
  <c r="B16" i="23"/>
  <c r="B15" i="23"/>
  <c r="B14" i="23"/>
  <c r="B13" i="23"/>
  <c r="B12" i="23"/>
  <c r="B11" i="23"/>
  <c r="B10" i="23"/>
  <c r="B9" i="23"/>
  <c r="B8" i="23"/>
  <c r="B7" i="23"/>
  <c r="B6" i="23"/>
  <c r="B5" i="23"/>
  <c r="B4" i="23"/>
  <c r="B3" i="23"/>
  <c r="B2" i="23"/>
</calcChain>
</file>

<file path=xl/sharedStrings.xml><?xml version="1.0" encoding="utf-8"?>
<sst xmlns="http://schemas.openxmlformats.org/spreadsheetml/2006/main" count="1824" uniqueCount="465">
  <si>
    <t>Order ID</t>
  </si>
  <si>
    <t>Order Date</t>
  </si>
  <si>
    <t>Ship Date</t>
  </si>
  <si>
    <t>Customer ID</t>
  </si>
  <si>
    <t>Customer Name</t>
  </si>
  <si>
    <t>City</t>
  </si>
  <si>
    <t>State</t>
  </si>
  <si>
    <t>Region</t>
  </si>
  <si>
    <t>Sub-Category</t>
  </si>
  <si>
    <t>Sales</t>
  </si>
  <si>
    <t>CA-2016-152156</t>
  </si>
  <si>
    <t>CG-12520</t>
  </si>
  <si>
    <t>Claire Gute</t>
  </si>
  <si>
    <t>Henderson</t>
  </si>
  <si>
    <t>Kentucky</t>
  </si>
  <si>
    <t>South</t>
  </si>
  <si>
    <t>Bookcases</t>
  </si>
  <si>
    <t>Chairs</t>
  </si>
  <si>
    <t>CA-2016-138688</t>
  </si>
  <si>
    <t>DV-13045</t>
  </si>
  <si>
    <t>Darrin Van Huff</t>
  </si>
  <si>
    <t>Los Angeles</t>
  </si>
  <si>
    <t>California</t>
  </si>
  <si>
    <t>West</t>
  </si>
  <si>
    <t>Labels</t>
  </si>
  <si>
    <t>US-2015-108966</t>
  </si>
  <si>
    <t>SO-20335</t>
  </si>
  <si>
    <t>Sean O'Donnell</t>
  </si>
  <si>
    <t>Fort Lauderdale</t>
  </si>
  <si>
    <t>Florida</t>
  </si>
  <si>
    <t>Tables</t>
  </si>
  <si>
    <t>Storage</t>
  </si>
  <si>
    <t>CA-2014-115812</t>
  </si>
  <si>
    <t>BH-11710</t>
  </si>
  <si>
    <t>Brosina Hoffman</t>
  </si>
  <si>
    <t>Furnishings</t>
  </si>
  <si>
    <t>Art</t>
  </si>
  <si>
    <t>Phones</t>
  </si>
  <si>
    <t>Binders</t>
  </si>
  <si>
    <t>Appliances</t>
  </si>
  <si>
    <t>CA-2017-114412</t>
  </si>
  <si>
    <t>AA-10480</t>
  </si>
  <si>
    <t>Andrew Allen</t>
  </si>
  <si>
    <t>Concord</t>
  </si>
  <si>
    <t>North Carolina</t>
  </si>
  <si>
    <t>Paper</t>
  </si>
  <si>
    <t>CA-2016-161389</t>
  </si>
  <si>
    <t>IM-15070</t>
  </si>
  <si>
    <t>Irene Maddox</t>
  </si>
  <si>
    <t>Seattle</t>
  </si>
  <si>
    <t>Washington</t>
  </si>
  <si>
    <t>US-2015-118983</t>
  </si>
  <si>
    <t>HP-14815</t>
  </si>
  <si>
    <t>Harold Pawlan</t>
  </si>
  <si>
    <t>Fort Worth</t>
  </si>
  <si>
    <t>Texas</t>
  </si>
  <si>
    <t>Central</t>
  </si>
  <si>
    <t>CA-2014-105893</t>
  </si>
  <si>
    <t>PK-19075</t>
  </si>
  <si>
    <t>Pete Kriz</t>
  </si>
  <si>
    <t>Madison</t>
  </si>
  <si>
    <t>Wisconsin</t>
  </si>
  <si>
    <t>CA-2014-167164</t>
  </si>
  <si>
    <t>AG-10270</t>
  </si>
  <si>
    <t>Alejandro Grove</t>
  </si>
  <si>
    <t>West Jordan</t>
  </si>
  <si>
    <t>Utah</t>
  </si>
  <si>
    <t>CA-2014-143336</t>
  </si>
  <si>
    <t>ZD-21925</t>
  </si>
  <si>
    <t>Zuschuss Donatelli</t>
  </si>
  <si>
    <t>San Francisco</t>
  </si>
  <si>
    <t>CA-2016-137330</t>
  </si>
  <si>
    <t>KB-16585</t>
  </si>
  <si>
    <t>Ken Black</t>
  </si>
  <si>
    <t>Fremont</t>
  </si>
  <si>
    <t>Nebraska</t>
  </si>
  <si>
    <t>US-2017-156909</t>
  </si>
  <si>
    <t>SF-20065</t>
  </si>
  <si>
    <t>Sandra Flanagan</t>
  </si>
  <si>
    <t>Philadelphia</t>
  </si>
  <si>
    <t>Pennsylvania</t>
  </si>
  <si>
    <t>East</t>
  </si>
  <si>
    <t>CA-2015-106320</t>
  </si>
  <si>
    <t>EB-13870</t>
  </si>
  <si>
    <t>Emily Burns</t>
  </si>
  <si>
    <t>Orem</t>
  </si>
  <si>
    <t>CA-2016-121755</t>
  </si>
  <si>
    <t>EH-13945</t>
  </si>
  <si>
    <t>Eric Hoffmann</t>
  </si>
  <si>
    <t>Accessories</t>
  </si>
  <si>
    <t>US-2015-150630</t>
  </si>
  <si>
    <t>TB-21520</t>
  </si>
  <si>
    <t>Tracy Blumstein</t>
  </si>
  <si>
    <t>Envelopes</t>
  </si>
  <si>
    <t>CA-2017-107727</t>
  </si>
  <si>
    <t>MA-17560</t>
  </si>
  <si>
    <t>Matt Abelman</t>
  </si>
  <si>
    <t>Houston</t>
  </si>
  <si>
    <t>CA-2016-117590</t>
  </si>
  <si>
    <t>GH-14485</t>
  </si>
  <si>
    <t>Gene Hale</t>
  </si>
  <si>
    <t>Richardson</t>
  </si>
  <si>
    <t>CA-2015-117415</t>
  </si>
  <si>
    <t>SN-20710</t>
  </si>
  <si>
    <t>Steve Nguyen</t>
  </si>
  <si>
    <t>CA-2017-120999</t>
  </si>
  <si>
    <t>LC-16930</t>
  </si>
  <si>
    <t>Linda Cazamias</t>
  </si>
  <si>
    <t>Naperville</t>
  </si>
  <si>
    <t>Illinois</t>
  </si>
  <si>
    <t>CA-2016-101343</t>
  </si>
  <si>
    <t>RA-19885</t>
  </si>
  <si>
    <t>Ruben Ausman</t>
  </si>
  <si>
    <t>CA-2017-139619</t>
  </si>
  <si>
    <t>ES-14080</t>
  </si>
  <si>
    <t>Erin Smith</t>
  </si>
  <si>
    <t>Melbourne</t>
  </si>
  <si>
    <t>CA-2016-118255</t>
  </si>
  <si>
    <t>ON-18715</t>
  </si>
  <si>
    <t>Odella Nelson</t>
  </si>
  <si>
    <t>Eagan</t>
  </si>
  <si>
    <t>Minnesota</t>
  </si>
  <si>
    <t>CA-2014-146703</t>
  </si>
  <si>
    <t>PO-18865</t>
  </si>
  <si>
    <t>Patrick O'Donnell</t>
  </si>
  <si>
    <t>Westland</t>
  </si>
  <si>
    <t>Michigan</t>
  </si>
  <si>
    <t>CA-2016-169194</t>
  </si>
  <si>
    <t>LH-16900</t>
  </si>
  <si>
    <t>Lena Hernandez</t>
  </si>
  <si>
    <t>Dover</t>
  </si>
  <si>
    <t>Delaware</t>
  </si>
  <si>
    <t>CA-2015-115742</t>
  </si>
  <si>
    <t>DP-13000</t>
  </si>
  <si>
    <t>Darren Powers</t>
  </si>
  <si>
    <t>New Albany</t>
  </si>
  <si>
    <t>Indiana</t>
  </si>
  <si>
    <t>CA-2016-105816</t>
  </si>
  <si>
    <t>JM-15265</t>
  </si>
  <si>
    <t>Janet Molinari</t>
  </si>
  <si>
    <t>New York City</t>
  </si>
  <si>
    <t>New York</t>
  </si>
  <si>
    <t>Fasteners</t>
  </si>
  <si>
    <t>CA-2016-111682</t>
  </si>
  <si>
    <t>TB-21055</t>
  </si>
  <si>
    <t>Ted Butterfield</t>
  </si>
  <si>
    <t>Troy</t>
  </si>
  <si>
    <t>CA-2015-135545</t>
  </si>
  <si>
    <t>KM-16720</t>
  </si>
  <si>
    <t>Kunst Miller</t>
  </si>
  <si>
    <t>US-2015-164175</t>
  </si>
  <si>
    <t>PS-18970</t>
  </si>
  <si>
    <t>Paul Stevenson</t>
  </si>
  <si>
    <t>Chicago</t>
  </si>
  <si>
    <t>CA-2014-106376</t>
  </si>
  <si>
    <t>BS-11590</t>
  </si>
  <si>
    <t>Brendan Sweed</t>
  </si>
  <si>
    <t>Gilbert</t>
  </si>
  <si>
    <t>Arizona</t>
  </si>
  <si>
    <t>CA-2016-119823</t>
  </si>
  <si>
    <t>KD-16270</t>
  </si>
  <si>
    <t>Karen Daniels</t>
  </si>
  <si>
    <t>Springfield</t>
  </si>
  <si>
    <t>Virginia</t>
  </si>
  <si>
    <t>CA-2016-106075</t>
  </si>
  <si>
    <t>HM-14980</t>
  </si>
  <si>
    <t>Henry MacAllister</t>
  </si>
  <si>
    <t>CA-2017-114440</t>
  </si>
  <si>
    <t>Jackson</t>
  </si>
  <si>
    <t>US-2015-134026</t>
  </si>
  <si>
    <t>JE-15745</t>
  </si>
  <si>
    <t>Joel Eaton</t>
  </si>
  <si>
    <t>Memphis</t>
  </si>
  <si>
    <t>Tennessee</t>
  </si>
  <si>
    <t>US-2017-118038</t>
  </si>
  <si>
    <t>KB-16600</t>
  </si>
  <si>
    <t>Ken Brennan</t>
  </si>
  <si>
    <t>US-2014-147606</t>
  </si>
  <si>
    <t>CA-2016-127208</t>
  </si>
  <si>
    <t>SC-20770</t>
  </si>
  <si>
    <t>Stewart Carmichael</t>
  </si>
  <si>
    <t>Decatur</t>
  </si>
  <si>
    <t>Alabama</t>
  </si>
  <si>
    <t>CA-2014-139451</t>
  </si>
  <si>
    <t>DN-13690</t>
  </si>
  <si>
    <t>Duane Noonan</t>
  </si>
  <si>
    <t>CA-2015-149734</t>
  </si>
  <si>
    <t>JC-16105</t>
  </si>
  <si>
    <t>Julie Creighton</t>
  </si>
  <si>
    <t>Durham</t>
  </si>
  <si>
    <t>US-2017-119662</t>
  </si>
  <si>
    <t>CS-12400</t>
  </si>
  <si>
    <t>Christopher Schild</t>
  </si>
  <si>
    <t>CA-2017-140088</t>
  </si>
  <si>
    <t>Columbia</t>
  </si>
  <si>
    <t>South Carolina</t>
  </si>
  <si>
    <t>CA-2017-155558</t>
  </si>
  <si>
    <t>PG-18895</t>
  </si>
  <si>
    <t>Paul Gonzalez</t>
  </si>
  <si>
    <t>Rochester</t>
  </si>
  <si>
    <t>CA-2016-159695</t>
  </si>
  <si>
    <t>GM-14455</t>
  </si>
  <si>
    <t>Gary Mitchum</t>
  </si>
  <si>
    <t>CA-2016-109806</t>
  </si>
  <si>
    <t>JS-15685</t>
  </si>
  <si>
    <t>Jim Sink</t>
  </si>
  <si>
    <t>CA-2015-149587</t>
  </si>
  <si>
    <t>KB-16315</t>
  </si>
  <si>
    <t>Karl Braun</t>
  </si>
  <si>
    <t>Minneapolis</t>
  </si>
  <si>
    <t>US-2017-109484</t>
  </si>
  <si>
    <t>RB-19705</t>
  </si>
  <si>
    <t>Roger Barcio</t>
  </si>
  <si>
    <t>Portland</t>
  </si>
  <si>
    <t>Oregon</t>
  </si>
  <si>
    <t>CA-2017-161018</t>
  </si>
  <si>
    <t>PN-18775</t>
  </si>
  <si>
    <t>Parhena Norris</t>
  </si>
  <si>
    <t>CA-2017-157833</t>
  </si>
  <si>
    <t>KD-16345</t>
  </si>
  <si>
    <t>Katherine Ducich</t>
  </si>
  <si>
    <t>CA-2016-149223</t>
  </si>
  <si>
    <t>ER-13855</t>
  </si>
  <si>
    <t>Elpida Rittenbach</t>
  </si>
  <si>
    <t>Saint Paul</t>
  </si>
  <si>
    <t>CA-2016-158568</t>
  </si>
  <si>
    <t>RB-19465</t>
  </si>
  <si>
    <t>Rick Bensley</t>
  </si>
  <si>
    <t>CA-2016-129903</t>
  </si>
  <si>
    <t>GZ-14470</t>
  </si>
  <si>
    <t>Gary Zandusky</t>
  </si>
  <si>
    <t>US-2015-156867</t>
  </si>
  <si>
    <t>LC-16870</t>
  </si>
  <si>
    <t>Lena Cacioppo</t>
  </si>
  <si>
    <t>Aurora</t>
  </si>
  <si>
    <t>Colorado</t>
  </si>
  <si>
    <t>CA-2017-119004</t>
  </si>
  <si>
    <t>JM-15250</t>
  </si>
  <si>
    <t>Janet Martin</t>
  </si>
  <si>
    <t>Charlotte</t>
  </si>
  <si>
    <t>CA-2015-129476</t>
  </si>
  <si>
    <t>PA-19060</t>
  </si>
  <si>
    <t>Pete Armstrong</t>
  </si>
  <si>
    <t>Orland Park</t>
  </si>
  <si>
    <t>CA-2017-146780</t>
  </si>
  <si>
    <t>CV-12805</t>
  </si>
  <si>
    <t>Cynthia Voltz</t>
  </si>
  <si>
    <t>CA-2016-128867</t>
  </si>
  <si>
    <t>CL-12565</t>
  </si>
  <si>
    <t>Clay Ludtke</t>
  </si>
  <si>
    <t>Urbandale</t>
  </si>
  <si>
    <t>Iowa</t>
  </si>
  <si>
    <t>CA-2014-115259</t>
  </si>
  <si>
    <t>RC-19960</t>
  </si>
  <si>
    <t>Ryan Crowe</t>
  </si>
  <si>
    <t>Columbus</t>
  </si>
  <si>
    <t>Ohio</t>
  </si>
  <si>
    <t>CA-2015-110457</t>
  </si>
  <si>
    <t>DK-13090</t>
  </si>
  <si>
    <t>Dave Kipp</t>
  </si>
  <si>
    <t>US-2015-136476</t>
  </si>
  <si>
    <t>GG-14650</t>
  </si>
  <si>
    <t>Greg Guthrie</t>
  </si>
  <si>
    <t>Bristol</t>
  </si>
  <si>
    <t>CA-2016-103730</t>
  </si>
  <si>
    <t>SC-20725</t>
  </si>
  <si>
    <t>Steven Cartwright</t>
  </si>
  <si>
    <t>Wilmington</t>
  </si>
  <si>
    <t>US-2014-152030</t>
  </si>
  <si>
    <t>AD-10180</t>
  </si>
  <si>
    <t>Alan Dominguez</t>
  </si>
  <si>
    <t>US-2014-134614</t>
  </si>
  <si>
    <t>PF-19165</t>
  </si>
  <si>
    <t>Philip Fox</t>
  </si>
  <si>
    <t>Bloomington</t>
  </si>
  <si>
    <t>US-2017-107272</t>
  </si>
  <si>
    <t>TS-21610</t>
  </si>
  <si>
    <t>Troy Staebel</t>
  </si>
  <si>
    <t>Phoenix</t>
  </si>
  <si>
    <t>US-2016-125969</t>
  </si>
  <si>
    <t>LS-16975</t>
  </si>
  <si>
    <t>Lindsay Shagiari</t>
  </si>
  <si>
    <t>US-2017-164147</t>
  </si>
  <si>
    <t>DW-13585</t>
  </si>
  <si>
    <t>Dorothy Wardle</t>
  </si>
  <si>
    <t>CA-2016-145583</t>
  </si>
  <si>
    <t>LC-16885</t>
  </si>
  <si>
    <t>Lena Creighton</t>
  </si>
  <si>
    <t>Roseville</t>
  </si>
  <si>
    <t>Supplies</t>
  </si>
  <si>
    <t>CA-2016-110366</t>
  </si>
  <si>
    <t>JD-15895</t>
  </si>
  <si>
    <t>Jonathan Doherty</t>
  </si>
  <si>
    <t>CA-2017-106180</t>
  </si>
  <si>
    <t>SH-19975</t>
  </si>
  <si>
    <t>Sally Hughsby</t>
  </si>
  <si>
    <t>CA-2017-155376</t>
  </si>
  <si>
    <t>SG-20080</t>
  </si>
  <si>
    <t>Sandra Glassco</t>
  </si>
  <si>
    <t>Independence</t>
  </si>
  <si>
    <t>Missouri</t>
  </si>
  <si>
    <t>CA-2015-110744</t>
  </si>
  <si>
    <t>HA-14920</t>
  </si>
  <si>
    <t>Helen Andreada</t>
  </si>
  <si>
    <t>Pasadena</t>
  </si>
  <si>
    <t>CA-2014-110072</t>
  </si>
  <si>
    <t>MG-17680</t>
  </si>
  <si>
    <t>Maureen Gastineau</t>
  </si>
  <si>
    <t>Newark</t>
  </si>
  <si>
    <t>CA-2016-114489</t>
  </si>
  <si>
    <t>JE-16165</t>
  </si>
  <si>
    <t>Justin Ellison</t>
  </si>
  <si>
    <t>Franklin</t>
  </si>
  <si>
    <t>CA-2016-158834</t>
  </si>
  <si>
    <t>TW-21025</t>
  </si>
  <si>
    <t>Tamara Willingham</t>
  </si>
  <si>
    <t>Scottsdale</t>
  </si>
  <si>
    <t>CA-2015-124919</t>
  </si>
  <si>
    <t>SP-20650</t>
  </si>
  <si>
    <t>Stephanie Phelps</t>
  </si>
  <si>
    <t>San Jose</t>
  </si>
  <si>
    <t>CA-2015-118948</t>
  </si>
  <si>
    <t>NK-18490</t>
  </si>
  <si>
    <t>Neil Knudson</t>
  </si>
  <si>
    <t>CA-2014-104269</t>
  </si>
  <si>
    <t>DB-13060</t>
  </si>
  <si>
    <t>Dave Brooks</t>
  </si>
  <si>
    <t>CA-2016-114104</t>
  </si>
  <si>
    <t>NP-18670</t>
  </si>
  <si>
    <t>Nora Paige</t>
  </si>
  <si>
    <t>Edmond</t>
  </si>
  <si>
    <t>Oklahoma</t>
  </si>
  <si>
    <t>CA-2016-162733</t>
  </si>
  <si>
    <t>TT-21070</t>
  </si>
  <si>
    <t>Ted Trevino</t>
  </si>
  <si>
    <t>CA-2015-119697</t>
  </si>
  <si>
    <t>EM-13960</t>
  </si>
  <si>
    <t>Eric Murdock</t>
  </si>
  <si>
    <t>CA-2016-154508</t>
  </si>
  <si>
    <t>RD-19900</t>
  </si>
  <si>
    <t>Ruben Dartt</t>
  </si>
  <si>
    <t>Carlsbad</t>
  </si>
  <si>
    <t>New Mexico</t>
  </si>
  <si>
    <t>CA-2016-113817</t>
  </si>
  <si>
    <t>MJ-17740</t>
  </si>
  <si>
    <t>Max Jones</t>
  </si>
  <si>
    <t>CA-2014-139892</t>
  </si>
  <si>
    <t>BM-11140</t>
  </si>
  <si>
    <t>Becky Martin</t>
  </si>
  <si>
    <t>San Antonio</t>
  </si>
  <si>
    <t>Machines</t>
  </si>
  <si>
    <t>CA-2014-118962</t>
  </si>
  <si>
    <t>CS-12130</t>
  </si>
  <si>
    <t>Chad Sievert</t>
  </si>
  <si>
    <t>US-2014-100853</t>
  </si>
  <si>
    <t>JB-15400</t>
  </si>
  <si>
    <t>Jennifer Braxton</t>
  </si>
  <si>
    <t>US-2017-152366</t>
  </si>
  <si>
    <t>SJ-20500</t>
  </si>
  <si>
    <t>Shirley Jackson</t>
  </si>
  <si>
    <t>US-2015-101511</t>
  </si>
  <si>
    <t>CA-2015-137225</t>
  </si>
  <si>
    <t>JK-15640</t>
  </si>
  <si>
    <t>Jim Kriz</t>
  </si>
  <si>
    <t>CA-2014-166191</t>
  </si>
  <si>
    <t>DK-13150</t>
  </si>
  <si>
    <t>David Kendrick</t>
  </si>
  <si>
    <t>CA-2014-158274</t>
  </si>
  <si>
    <t>RM-19675</t>
  </si>
  <si>
    <t>Robert Marley</t>
  </si>
  <si>
    <t>Monroe</t>
  </si>
  <si>
    <t>Louisiana</t>
  </si>
  <si>
    <t>CA-2016-105018</t>
  </si>
  <si>
    <t>SK-19990</t>
  </si>
  <si>
    <t>Sally Knutson</t>
  </si>
  <si>
    <t>Fairfield</t>
  </si>
  <si>
    <t>Connecticut</t>
  </si>
  <si>
    <t>CA-2014-123260</t>
  </si>
  <si>
    <t>FM-14290</t>
  </si>
  <si>
    <t>Frank Merwin</t>
  </si>
  <si>
    <t>CA-2016-157000</t>
  </si>
  <si>
    <t>AM-10360</t>
  </si>
  <si>
    <t>Alice McCarthy</t>
  </si>
  <si>
    <t>Grand Prairie</t>
  </si>
  <si>
    <t>CA-2015-102281</t>
  </si>
  <si>
    <t>MP-17470</t>
  </si>
  <si>
    <t>Mark Packer</t>
  </si>
  <si>
    <t>CA-2015-131457</t>
  </si>
  <si>
    <t>MZ-17515</t>
  </si>
  <si>
    <t>Mary Zewe</t>
  </si>
  <si>
    <t>Redlands</t>
  </si>
  <si>
    <t>CA-2014-140004</t>
  </si>
  <si>
    <t>CB-12025</t>
  </si>
  <si>
    <t>Cassandra Brandow</t>
  </si>
  <si>
    <t>Hamilton</t>
  </si>
  <si>
    <t>CA-2017-107720</t>
  </si>
  <si>
    <t>VM-21685</t>
  </si>
  <si>
    <t>Valerie Mitchum</t>
  </si>
  <si>
    <t>Westfield</t>
  </si>
  <si>
    <t>New Jersey</t>
  </si>
  <si>
    <t>US-2017-124303</t>
  </si>
  <si>
    <t>FH-14365</t>
  </si>
  <si>
    <t>Fred Hopkins</t>
  </si>
  <si>
    <t>CA-2017-105074</t>
  </si>
  <si>
    <t>MB-17305</t>
  </si>
  <si>
    <t>Maria Bertelson</t>
  </si>
  <si>
    <t>Akron</t>
  </si>
  <si>
    <t>CA-2014-133690</t>
  </si>
  <si>
    <t>BS-11755</t>
  </si>
  <si>
    <t>Bruce Stewart</t>
  </si>
  <si>
    <t>Denver</t>
  </si>
  <si>
    <t>US-2017-116701</t>
  </si>
  <si>
    <t>LC-17140</t>
  </si>
  <si>
    <t>Logan Currie</t>
  </si>
  <si>
    <t>Dallas</t>
  </si>
  <si>
    <t>CA-2017-126382</t>
  </si>
  <si>
    <t>HK-14890</t>
  </si>
  <si>
    <t>Heather Kirkland</t>
  </si>
  <si>
    <t>CA-2017-108329</t>
  </si>
  <si>
    <t>LE-16810</t>
  </si>
  <si>
    <t>Laurel Elliston</t>
  </si>
  <si>
    <t>Whittier</t>
  </si>
  <si>
    <t>CA-2017-135860</t>
  </si>
  <si>
    <t>JH-15985</t>
  </si>
  <si>
    <t>Joseph Holt</t>
  </si>
  <si>
    <t>Saginaw</t>
  </si>
  <si>
    <t>CA-2015-101007</t>
  </si>
  <si>
    <t>MS-17980</t>
  </si>
  <si>
    <t>Michael Stewart</t>
  </si>
  <si>
    <t>CA-2015-146262</t>
  </si>
  <si>
    <t>VW-21775</t>
  </si>
  <si>
    <t>Victoria Wilson</t>
  </si>
  <si>
    <t>Medina</t>
  </si>
  <si>
    <t>CA-2016-130162</t>
  </si>
  <si>
    <t>JH-15910</t>
  </si>
  <si>
    <t>Jonathan Howell</t>
  </si>
  <si>
    <t>CA-2015-169397</t>
  </si>
  <si>
    <t>JB-15925</t>
  </si>
  <si>
    <t>Joni Blumstein</t>
  </si>
  <si>
    <t>Dublin</t>
  </si>
  <si>
    <t>CA-2015-163055</t>
  </si>
  <si>
    <t>DS-13180</t>
  </si>
  <si>
    <t>David Smith</t>
  </si>
  <si>
    <t>Detroit</t>
  </si>
  <si>
    <t>US-2015-145436</t>
  </si>
  <si>
    <t>VD-21670</t>
  </si>
  <si>
    <t>Valerie Dominguez</t>
  </si>
  <si>
    <t>US-2014-156216</t>
  </si>
  <si>
    <t>EA-14035</t>
  </si>
  <si>
    <t>Erin Ashbrook</t>
  </si>
  <si>
    <t>US-2017-100930</t>
  </si>
  <si>
    <t>Tampa</t>
  </si>
  <si>
    <t>CA-2017-160514</t>
  </si>
  <si>
    <t>DB-13120</t>
  </si>
  <si>
    <t>David Bremer</t>
  </si>
  <si>
    <t>Santa Clara</t>
  </si>
  <si>
    <t>CA-2016-157749</t>
  </si>
  <si>
    <t>KL-16645</t>
  </si>
  <si>
    <t>Ken Lonsdale</t>
  </si>
  <si>
    <t>Row Labels</t>
  </si>
  <si>
    <t>Grand Total</t>
  </si>
  <si>
    <t>Sum of Sales</t>
  </si>
  <si>
    <t>Year</t>
  </si>
  <si>
    <t>Count of Sales2</t>
  </si>
  <si>
    <t xml:space="preserve">dashboard of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</si>
</sst>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9"/>
      <color theme="5" tint="0.79998168889431442"/>
      <name val="Ebrima"/>
    </font>
    <font>
      <sz val="28"/>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5" tint="0.59999389629810485"/>
        <bgColor indexed="64"/>
      </patternFill>
    </fill>
    <fill>
      <patternFill patternType="solid">
        <fgColor theme="4" tint="-0.249977111117893"/>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2" borderId="2" xfId="0" applyFont="1" applyFill="1" applyBorder="1" applyAlignment="1">
      <alignment horizontal="center"/>
    </xf>
    <xf numFmtId="14" fontId="1" fillId="2" borderId="2" xfId="0" applyNumberFormat="1" applyFont="1" applyFill="1" applyBorder="1" applyAlignment="1">
      <alignment horizontal="center"/>
    </xf>
    <xf numFmtId="0" fontId="1" fillId="2" borderId="1" xfId="0" applyFont="1" applyFill="1" applyBorder="1" applyAlignment="1">
      <alignment horizontal="center"/>
    </xf>
    <xf numFmtId="14" fontId="0" fillId="0" borderId="0" xfId="0" applyNumberFormat="1"/>
    <xf numFmtId="0" fontId="0" fillId="0" borderId="0" xfId="0" applyNumberFormat="1"/>
    <xf numFmtId="0" fontId="0" fillId="3" borderId="0" xfId="0" applyFill="1" applyAlignment="1"/>
    <xf numFmtId="0" fontId="2"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project.xlsx]based on customer!PivotTable2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'based on customer'!$B$3</c:f>
              <c:strCache>
                <c:ptCount val="1"/>
                <c:pt idx="0">
                  <c:v>Sum of Sales</c:v>
                </c:pt>
              </c:strCache>
            </c:strRef>
          </c:tx>
          <c:spPr>
            <a:solidFill>
              <a:schemeClr val="accent1"/>
            </a:solidFill>
            <a:ln>
              <a:noFill/>
            </a:ln>
            <a:effectLst/>
          </c:spPr>
          <c:invertIfNegative val="0"/>
          <c:cat>
            <c:strRef>
              <c:f>'based on customer'!$A$4:$A$112</c:f>
              <c:strCache>
                <c:ptCount val="108"/>
                <c:pt idx="0">
                  <c:v>Alan Dominguez</c:v>
                </c:pt>
                <c:pt idx="1">
                  <c:v>Alejandro Grove</c:v>
                </c:pt>
                <c:pt idx="2">
                  <c:v>Alice McCarthy</c:v>
                </c:pt>
                <c:pt idx="3">
                  <c:v>Andrew Allen</c:v>
                </c:pt>
                <c:pt idx="4">
                  <c:v>Becky Martin</c:v>
                </c:pt>
                <c:pt idx="5">
                  <c:v>Brendan Sweed</c:v>
                </c:pt>
                <c:pt idx="6">
                  <c:v>Brosina Hoffman</c:v>
                </c:pt>
                <c:pt idx="7">
                  <c:v>Bruce Stewart</c:v>
                </c:pt>
                <c:pt idx="8">
                  <c:v>Cassandra Brandow</c:v>
                </c:pt>
                <c:pt idx="9">
                  <c:v>Chad Sievert</c:v>
                </c:pt>
                <c:pt idx="10">
                  <c:v>Christopher Schild</c:v>
                </c:pt>
                <c:pt idx="11">
                  <c:v>Claire Gute</c:v>
                </c:pt>
                <c:pt idx="12">
                  <c:v>Clay Ludtke</c:v>
                </c:pt>
                <c:pt idx="13">
                  <c:v>Cynthia Voltz</c:v>
                </c:pt>
                <c:pt idx="14">
                  <c:v>Darren Powers</c:v>
                </c:pt>
                <c:pt idx="15">
                  <c:v>Darrin Van Huff</c:v>
                </c:pt>
                <c:pt idx="16">
                  <c:v>Dave Brooks</c:v>
                </c:pt>
                <c:pt idx="17">
                  <c:v>Dave Kipp</c:v>
                </c:pt>
                <c:pt idx="18">
                  <c:v>David Bremer</c:v>
                </c:pt>
                <c:pt idx="19">
                  <c:v>David Kendrick</c:v>
                </c:pt>
                <c:pt idx="20">
                  <c:v>David Smith</c:v>
                </c:pt>
                <c:pt idx="21">
                  <c:v>Dorothy Wardle</c:v>
                </c:pt>
                <c:pt idx="22">
                  <c:v>Duane Noonan</c:v>
                </c:pt>
                <c:pt idx="23">
                  <c:v>Elpida Rittenbach</c:v>
                </c:pt>
                <c:pt idx="24">
                  <c:v>Emily Burns</c:v>
                </c:pt>
                <c:pt idx="25">
                  <c:v>Eric Hoffmann</c:v>
                </c:pt>
                <c:pt idx="26">
                  <c:v>Eric Murdock</c:v>
                </c:pt>
                <c:pt idx="27">
                  <c:v>Erin Ashbrook</c:v>
                </c:pt>
                <c:pt idx="28">
                  <c:v>Erin Smith</c:v>
                </c:pt>
                <c:pt idx="29">
                  <c:v>Frank Merwin</c:v>
                </c:pt>
                <c:pt idx="30">
                  <c:v>Fred Hopkins</c:v>
                </c:pt>
                <c:pt idx="31">
                  <c:v>Gary Mitchum</c:v>
                </c:pt>
                <c:pt idx="32">
                  <c:v>Gary Zandusky</c:v>
                </c:pt>
                <c:pt idx="33">
                  <c:v>Gene Hale</c:v>
                </c:pt>
                <c:pt idx="34">
                  <c:v>Greg Guthrie</c:v>
                </c:pt>
                <c:pt idx="35">
                  <c:v>Harold Pawlan</c:v>
                </c:pt>
                <c:pt idx="36">
                  <c:v>Heather Kirkland</c:v>
                </c:pt>
                <c:pt idx="37">
                  <c:v>Helen Andreada</c:v>
                </c:pt>
                <c:pt idx="38">
                  <c:v>Henry MacAllister</c:v>
                </c:pt>
                <c:pt idx="39">
                  <c:v>Irene Maddox</c:v>
                </c:pt>
                <c:pt idx="40">
                  <c:v>Janet Martin</c:v>
                </c:pt>
                <c:pt idx="41">
                  <c:v>Janet Molinari</c:v>
                </c:pt>
                <c:pt idx="42">
                  <c:v>Jennifer Braxton</c:v>
                </c:pt>
                <c:pt idx="43">
                  <c:v>Jim Kriz</c:v>
                </c:pt>
                <c:pt idx="44">
                  <c:v>Jim Sink</c:v>
                </c:pt>
                <c:pt idx="45">
                  <c:v>Joel Eaton</c:v>
                </c:pt>
                <c:pt idx="46">
                  <c:v>Jonathan Doherty</c:v>
                </c:pt>
                <c:pt idx="47">
                  <c:v>Jonathan Howell</c:v>
                </c:pt>
                <c:pt idx="48">
                  <c:v>Joni Blumstein</c:v>
                </c:pt>
                <c:pt idx="49">
                  <c:v>Joseph Holt</c:v>
                </c:pt>
                <c:pt idx="50">
                  <c:v>Julie Creighton</c:v>
                </c:pt>
                <c:pt idx="51">
                  <c:v>Justin Ellison</c:v>
                </c:pt>
                <c:pt idx="52">
                  <c:v>Karen Daniels</c:v>
                </c:pt>
                <c:pt idx="53">
                  <c:v>Karl Braun</c:v>
                </c:pt>
                <c:pt idx="54">
                  <c:v>Katherine Ducich</c:v>
                </c:pt>
                <c:pt idx="55">
                  <c:v>Ken Black</c:v>
                </c:pt>
                <c:pt idx="56">
                  <c:v>Ken Brennan</c:v>
                </c:pt>
                <c:pt idx="57">
                  <c:v>Ken Lonsdale</c:v>
                </c:pt>
                <c:pt idx="58">
                  <c:v>Kunst Miller</c:v>
                </c:pt>
                <c:pt idx="59">
                  <c:v>Laurel Elliston</c:v>
                </c:pt>
                <c:pt idx="60">
                  <c:v>Lena Cacioppo</c:v>
                </c:pt>
                <c:pt idx="61">
                  <c:v>Lena Creighton</c:v>
                </c:pt>
                <c:pt idx="62">
                  <c:v>Lena Hernandez</c:v>
                </c:pt>
                <c:pt idx="63">
                  <c:v>Linda Cazamias</c:v>
                </c:pt>
                <c:pt idx="64">
                  <c:v>Lindsay Shagiari</c:v>
                </c:pt>
                <c:pt idx="65">
                  <c:v>Logan Currie</c:v>
                </c:pt>
                <c:pt idx="66">
                  <c:v>Maria Bertelson</c:v>
                </c:pt>
                <c:pt idx="67">
                  <c:v>Mark Packer</c:v>
                </c:pt>
                <c:pt idx="68">
                  <c:v>Mary Zewe</c:v>
                </c:pt>
                <c:pt idx="69">
                  <c:v>Matt Abelman</c:v>
                </c:pt>
                <c:pt idx="70">
                  <c:v>Maureen Gastineau</c:v>
                </c:pt>
                <c:pt idx="71">
                  <c:v>Max Jones</c:v>
                </c:pt>
                <c:pt idx="72">
                  <c:v>Michael Stewart</c:v>
                </c:pt>
                <c:pt idx="73">
                  <c:v>Neil Knudson</c:v>
                </c:pt>
                <c:pt idx="74">
                  <c:v>Nora Paige</c:v>
                </c:pt>
                <c:pt idx="75">
                  <c:v>Odella Nelson</c:v>
                </c:pt>
                <c:pt idx="76">
                  <c:v>Parhena Norris</c:v>
                </c:pt>
                <c:pt idx="77">
                  <c:v>Patrick O'Donnell</c:v>
                </c:pt>
                <c:pt idx="78">
                  <c:v>Paul Gonzalez</c:v>
                </c:pt>
                <c:pt idx="79">
                  <c:v>Paul Stevenson</c:v>
                </c:pt>
                <c:pt idx="80">
                  <c:v>Pete Armstrong</c:v>
                </c:pt>
                <c:pt idx="81">
                  <c:v>Pete Kriz</c:v>
                </c:pt>
                <c:pt idx="82">
                  <c:v>Philip Fox</c:v>
                </c:pt>
                <c:pt idx="83">
                  <c:v>Rick Bensley</c:v>
                </c:pt>
                <c:pt idx="84">
                  <c:v>Robert Marley</c:v>
                </c:pt>
                <c:pt idx="85">
                  <c:v>Roger Barcio</c:v>
                </c:pt>
                <c:pt idx="86">
                  <c:v>Ruben Ausman</c:v>
                </c:pt>
                <c:pt idx="87">
                  <c:v>Ruben Dartt</c:v>
                </c:pt>
                <c:pt idx="88">
                  <c:v>Ryan Crowe</c:v>
                </c:pt>
                <c:pt idx="89">
                  <c:v>Sally Hughsby</c:v>
                </c:pt>
                <c:pt idx="90">
                  <c:v>Sally Knutson</c:v>
                </c:pt>
                <c:pt idx="91">
                  <c:v>Sandra Flanagan</c:v>
                </c:pt>
                <c:pt idx="92">
                  <c:v>Sandra Glassco</c:v>
                </c:pt>
                <c:pt idx="93">
                  <c:v>Sean O'Donnell</c:v>
                </c:pt>
                <c:pt idx="94">
                  <c:v>Shirley Jackson</c:v>
                </c:pt>
                <c:pt idx="95">
                  <c:v>Stephanie Phelps</c:v>
                </c:pt>
                <c:pt idx="96">
                  <c:v>Steve Nguyen</c:v>
                </c:pt>
                <c:pt idx="97">
                  <c:v>Steven Cartwright</c:v>
                </c:pt>
                <c:pt idx="98">
                  <c:v>Stewart Carmichael</c:v>
                </c:pt>
                <c:pt idx="99">
                  <c:v>Tamara Willingham</c:v>
                </c:pt>
                <c:pt idx="100">
                  <c:v>Ted Butterfield</c:v>
                </c:pt>
                <c:pt idx="101">
                  <c:v>Ted Trevino</c:v>
                </c:pt>
                <c:pt idx="102">
                  <c:v>Tracy Blumstein</c:v>
                </c:pt>
                <c:pt idx="103">
                  <c:v>Troy Staebel</c:v>
                </c:pt>
                <c:pt idx="104">
                  <c:v>Valerie Dominguez</c:v>
                </c:pt>
                <c:pt idx="105">
                  <c:v>Valerie Mitchum</c:v>
                </c:pt>
                <c:pt idx="106">
                  <c:v>Victoria Wilson</c:v>
                </c:pt>
                <c:pt idx="107">
                  <c:v>Zuschuss Donatelli</c:v>
                </c:pt>
              </c:strCache>
            </c:strRef>
          </c:cat>
          <c:val>
            <c:numRef>
              <c:f>'based on customer'!$B$4:$B$112</c:f>
              <c:numCache>
                <c:formatCode>General</c:formatCode>
                <c:ptCount val="108"/>
                <c:pt idx="0">
                  <c:v>600.55799999999999</c:v>
                </c:pt>
                <c:pt idx="1">
                  <c:v>55.5</c:v>
                </c:pt>
                <c:pt idx="2">
                  <c:v>57.239999999999995</c:v>
                </c:pt>
                <c:pt idx="3">
                  <c:v>15.552</c:v>
                </c:pt>
                <c:pt idx="4">
                  <c:v>10539.896000000001</c:v>
                </c:pt>
                <c:pt idx="5">
                  <c:v>1280.992</c:v>
                </c:pt>
                <c:pt idx="6">
                  <c:v>3714.3040000000001</c:v>
                </c:pt>
                <c:pt idx="7">
                  <c:v>221.35</c:v>
                </c:pt>
                <c:pt idx="8">
                  <c:v>13.456</c:v>
                </c:pt>
                <c:pt idx="9">
                  <c:v>472.04399999999998</c:v>
                </c:pt>
                <c:pt idx="10">
                  <c:v>1966.2265</c:v>
                </c:pt>
                <c:pt idx="11">
                  <c:v>993.90000000000009</c:v>
                </c:pt>
                <c:pt idx="12">
                  <c:v>103.19999999999999</c:v>
                </c:pt>
                <c:pt idx="13">
                  <c:v>41.96</c:v>
                </c:pt>
                <c:pt idx="14">
                  <c:v>209.55</c:v>
                </c:pt>
                <c:pt idx="15">
                  <c:v>14.62</c:v>
                </c:pt>
                <c:pt idx="16">
                  <c:v>457.56799999999998</c:v>
                </c:pt>
                <c:pt idx="17">
                  <c:v>787.53</c:v>
                </c:pt>
                <c:pt idx="18">
                  <c:v>10.56</c:v>
                </c:pt>
                <c:pt idx="19">
                  <c:v>433.56</c:v>
                </c:pt>
                <c:pt idx="20">
                  <c:v>646.63000000000011</c:v>
                </c:pt>
                <c:pt idx="21">
                  <c:v>159.72999999999999</c:v>
                </c:pt>
                <c:pt idx="22">
                  <c:v>36.29</c:v>
                </c:pt>
                <c:pt idx="23">
                  <c:v>77.88</c:v>
                </c:pt>
                <c:pt idx="24">
                  <c:v>1044.6300000000001</c:v>
                </c:pt>
                <c:pt idx="25">
                  <c:v>102.21799999999999</c:v>
                </c:pt>
                <c:pt idx="26">
                  <c:v>54.384</c:v>
                </c:pt>
                <c:pt idx="27">
                  <c:v>18.648</c:v>
                </c:pt>
                <c:pt idx="28">
                  <c:v>95.616</c:v>
                </c:pt>
                <c:pt idx="29">
                  <c:v>176.8</c:v>
                </c:pt>
                <c:pt idx="30">
                  <c:v>19.002000000000002</c:v>
                </c:pt>
                <c:pt idx="31">
                  <c:v>158.36799999999999</c:v>
                </c:pt>
                <c:pt idx="32">
                  <c:v>23.92</c:v>
                </c:pt>
                <c:pt idx="33">
                  <c:v>1288.4640000000002</c:v>
                </c:pt>
                <c:pt idx="34">
                  <c:v>157.79400000000001</c:v>
                </c:pt>
                <c:pt idx="35">
                  <c:v>71.353999999999999</c:v>
                </c:pt>
                <c:pt idx="36">
                  <c:v>35.167999999999999</c:v>
                </c:pt>
                <c:pt idx="37">
                  <c:v>671.93</c:v>
                </c:pt>
                <c:pt idx="38">
                  <c:v>4.6159999999999997</c:v>
                </c:pt>
                <c:pt idx="39">
                  <c:v>407.976</c:v>
                </c:pt>
                <c:pt idx="40">
                  <c:v>105.408</c:v>
                </c:pt>
                <c:pt idx="41">
                  <c:v>1045.21</c:v>
                </c:pt>
                <c:pt idx="42">
                  <c:v>72.608000000000004</c:v>
                </c:pt>
                <c:pt idx="43">
                  <c:v>3.28</c:v>
                </c:pt>
                <c:pt idx="44">
                  <c:v>100.164</c:v>
                </c:pt>
                <c:pt idx="45">
                  <c:v>1433.7420000000002</c:v>
                </c:pt>
                <c:pt idx="46">
                  <c:v>82.8</c:v>
                </c:pt>
                <c:pt idx="47">
                  <c:v>395.43599999999998</c:v>
                </c:pt>
                <c:pt idx="48">
                  <c:v>627.92399999999998</c:v>
                </c:pt>
                <c:pt idx="49">
                  <c:v>376.09999999999997</c:v>
                </c:pt>
                <c:pt idx="50">
                  <c:v>200.98400000000001</c:v>
                </c:pt>
                <c:pt idx="51">
                  <c:v>2657.81</c:v>
                </c:pt>
                <c:pt idx="52">
                  <c:v>75.88</c:v>
                </c:pt>
                <c:pt idx="53">
                  <c:v>99.260000000000019</c:v>
                </c:pt>
                <c:pt idx="54">
                  <c:v>51.311999999999998</c:v>
                </c:pt>
                <c:pt idx="55">
                  <c:v>79.800000000000011</c:v>
                </c:pt>
                <c:pt idx="56">
                  <c:v>38.195999999999998</c:v>
                </c:pt>
                <c:pt idx="57">
                  <c:v>445.6</c:v>
                </c:pt>
                <c:pt idx="58">
                  <c:v>266.29399999999998</c:v>
                </c:pt>
                <c:pt idx="59">
                  <c:v>444.76799999999997</c:v>
                </c:pt>
                <c:pt idx="60">
                  <c:v>378.13799999999998</c:v>
                </c:pt>
                <c:pt idx="61">
                  <c:v>256.19599999999997</c:v>
                </c:pt>
                <c:pt idx="62">
                  <c:v>66.8</c:v>
                </c:pt>
                <c:pt idx="63">
                  <c:v>147.16800000000001</c:v>
                </c:pt>
                <c:pt idx="64">
                  <c:v>319.98400000000004</c:v>
                </c:pt>
                <c:pt idx="65">
                  <c:v>66.284000000000006</c:v>
                </c:pt>
                <c:pt idx="66">
                  <c:v>21.744</c:v>
                </c:pt>
                <c:pt idx="67">
                  <c:v>1668.9880000000001</c:v>
                </c:pt>
                <c:pt idx="68">
                  <c:v>14.28</c:v>
                </c:pt>
                <c:pt idx="69">
                  <c:v>29.472000000000001</c:v>
                </c:pt>
                <c:pt idx="70">
                  <c:v>93.888000000000005</c:v>
                </c:pt>
                <c:pt idx="71">
                  <c:v>27.68</c:v>
                </c:pt>
                <c:pt idx="72">
                  <c:v>20.8</c:v>
                </c:pt>
                <c:pt idx="73">
                  <c:v>6.63</c:v>
                </c:pt>
                <c:pt idx="74">
                  <c:v>959.55</c:v>
                </c:pt>
                <c:pt idx="75">
                  <c:v>63.44</c:v>
                </c:pt>
                <c:pt idx="76">
                  <c:v>96.53</c:v>
                </c:pt>
                <c:pt idx="77">
                  <c:v>513.91999999999996</c:v>
                </c:pt>
                <c:pt idx="78">
                  <c:v>26.15</c:v>
                </c:pt>
                <c:pt idx="79">
                  <c:v>213.11500000000001</c:v>
                </c:pt>
                <c:pt idx="80">
                  <c:v>339.96</c:v>
                </c:pt>
                <c:pt idx="81">
                  <c:v>665.88</c:v>
                </c:pt>
                <c:pt idx="82">
                  <c:v>617.70000000000005</c:v>
                </c:pt>
                <c:pt idx="83">
                  <c:v>162.38800000000001</c:v>
                </c:pt>
                <c:pt idx="84">
                  <c:v>682.91</c:v>
                </c:pt>
                <c:pt idx="85">
                  <c:v>5.6820000000000004</c:v>
                </c:pt>
                <c:pt idx="86">
                  <c:v>77.88</c:v>
                </c:pt>
                <c:pt idx="87">
                  <c:v>28.4</c:v>
                </c:pt>
                <c:pt idx="88">
                  <c:v>199.256</c:v>
                </c:pt>
                <c:pt idx="89">
                  <c:v>163.38</c:v>
                </c:pt>
                <c:pt idx="90">
                  <c:v>7.16</c:v>
                </c:pt>
                <c:pt idx="91">
                  <c:v>71.372</c:v>
                </c:pt>
                <c:pt idx="92">
                  <c:v>839.43</c:v>
                </c:pt>
                <c:pt idx="93">
                  <c:v>979.94550000000004</c:v>
                </c:pt>
                <c:pt idx="94">
                  <c:v>97.263999999999996</c:v>
                </c:pt>
                <c:pt idx="95">
                  <c:v>244.78</c:v>
                </c:pt>
                <c:pt idx="96">
                  <c:v>1228.9531999999999</c:v>
                </c:pt>
                <c:pt idx="97">
                  <c:v>487.5</c:v>
                </c:pt>
                <c:pt idx="98">
                  <c:v>224.9</c:v>
                </c:pt>
                <c:pt idx="99">
                  <c:v>361.10399999999998</c:v>
                </c:pt>
                <c:pt idx="100">
                  <c:v>655.08999999999992</c:v>
                </c:pt>
                <c:pt idx="101">
                  <c:v>5.98</c:v>
                </c:pt>
                <c:pt idx="102">
                  <c:v>3348.4840000000004</c:v>
                </c:pt>
                <c:pt idx="103">
                  <c:v>246.38</c:v>
                </c:pt>
                <c:pt idx="104">
                  <c:v>551.26400000000001</c:v>
                </c:pt>
                <c:pt idx="105">
                  <c:v>46.26</c:v>
                </c:pt>
                <c:pt idx="106">
                  <c:v>1816.6960000000001</c:v>
                </c:pt>
                <c:pt idx="107">
                  <c:v>244.76</c:v>
                </c:pt>
              </c:numCache>
            </c:numRef>
          </c:val>
          <c:extLst>
            <c:ext xmlns:c16="http://schemas.microsoft.com/office/drawing/2014/chart" uri="{C3380CC4-5D6E-409C-BE32-E72D297353CC}">
              <c16:uniqueId val="{00000000-39A2-4999-B887-5D7ED02D131B}"/>
            </c:ext>
          </c:extLst>
        </c:ser>
        <c:ser>
          <c:idx val="1"/>
          <c:order val="1"/>
          <c:tx>
            <c:strRef>
              <c:f>'based on customer'!$C$3</c:f>
              <c:strCache>
                <c:ptCount val="1"/>
                <c:pt idx="0">
                  <c:v>Count of Sales2</c:v>
                </c:pt>
              </c:strCache>
            </c:strRef>
          </c:tx>
          <c:spPr>
            <a:solidFill>
              <a:schemeClr val="accent2"/>
            </a:solidFill>
            <a:ln>
              <a:noFill/>
            </a:ln>
            <a:effectLst/>
          </c:spPr>
          <c:invertIfNegative val="0"/>
          <c:cat>
            <c:strRef>
              <c:f>'based on customer'!$A$4:$A$112</c:f>
              <c:strCache>
                <c:ptCount val="108"/>
                <c:pt idx="0">
                  <c:v>Alan Dominguez</c:v>
                </c:pt>
                <c:pt idx="1">
                  <c:v>Alejandro Grove</c:v>
                </c:pt>
                <c:pt idx="2">
                  <c:v>Alice McCarthy</c:v>
                </c:pt>
                <c:pt idx="3">
                  <c:v>Andrew Allen</c:v>
                </c:pt>
                <c:pt idx="4">
                  <c:v>Becky Martin</c:v>
                </c:pt>
                <c:pt idx="5">
                  <c:v>Brendan Sweed</c:v>
                </c:pt>
                <c:pt idx="6">
                  <c:v>Brosina Hoffman</c:v>
                </c:pt>
                <c:pt idx="7">
                  <c:v>Bruce Stewart</c:v>
                </c:pt>
                <c:pt idx="8">
                  <c:v>Cassandra Brandow</c:v>
                </c:pt>
                <c:pt idx="9">
                  <c:v>Chad Sievert</c:v>
                </c:pt>
                <c:pt idx="10">
                  <c:v>Christopher Schild</c:v>
                </c:pt>
                <c:pt idx="11">
                  <c:v>Claire Gute</c:v>
                </c:pt>
                <c:pt idx="12">
                  <c:v>Clay Ludtke</c:v>
                </c:pt>
                <c:pt idx="13">
                  <c:v>Cynthia Voltz</c:v>
                </c:pt>
                <c:pt idx="14">
                  <c:v>Darren Powers</c:v>
                </c:pt>
                <c:pt idx="15">
                  <c:v>Darrin Van Huff</c:v>
                </c:pt>
                <c:pt idx="16">
                  <c:v>Dave Brooks</c:v>
                </c:pt>
                <c:pt idx="17">
                  <c:v>Dave Kipp</c:v>
                </c:pt>
                <c:pt idx="18">
                  <c:v>David Bremer</c:v>
                </c:pt>
                <c:pt idx="19">
                  <c:v>David Kendrick</c:v>
                </c:pt>
                <c:pt idx="20">
                  <c:v>David Smith</c:v>
                </c:pt>
                <c:pt idx="21">
                  <c:v>Dorothy Wardle</c:v>
                </c:pt>
                <c:pt idx="22">
                  <c:v>Duane Noonan</c:v>
                </c:pt>
                <c:pt idx="23">
                  <c:v>Elpida Rittenbach</c:v>
                </c:pt>
                <c:pt idx="24">
                  <c:v>Emily Burns</c:v>
                </c:pt>
                <c:pt idx="25">
                  <c:v>Eric Hoffmann</c:v>
                </c:pt>
                <c:pt idx="26">
                  <c:v>Eric Murdock</c:v>
                </c:pt>
                <c:pt idx="27">
                  <c:v>Erin Ashbrook</c:v>
                </c:pt>
                <c:pt idx="28">
                  <c:v>Erin Smith</c:v>
                </c:pt>
                <c:pt idx="29">
                  <c:v>Frank Merwin</c:v>
                </c:pt>
                <c:pt idx="30">
                  <c:v>Fred Hopkins</c:v>
                </c:pt>
                <c:pt idx="31">
                  <c:v>Gary Mitchum</c:v>
                </c:pt>
                <c:pt idx="32">
                  <c:v>Gary Zandusky</c:v>
                </c:pt>
                <c:pt idx="33">
                  <c:v>Gene Hale</c:v>
                </c:pt>
                <c:pt idx="34">
                  <c:v>Greg Guthrie</c:v>
                </c:pt>
                <c:pt idx="35">
                  <c:v>Harold Pawlan</c:v>
                </c:pt>
                <c:pt idx="36">
                  <c:v>Heather Kirkland</c:v>
                </c:pt>
                <c:pt idx="37">
                  <c:v>Helen Andreada</c:v>
                </c:pt>
                <c:pt idx="38">
                  <c:v>Henry MacAllister</c:v>
                </c:pt>
                <c:pt idx="39">
                  <c:v>Irene Maddox</c:v>
                </c:pt>
                <c:pt idx="40">
                  <c:v>Janet Martin</c:v>
                </c:pt>
                <c:pt idx="41">
                  <c:v>Janet Molinari</c:v>
                </c:pt>
                <c:pt idx="42">
                  <c:v>Jennifer Braxton</c:v>
                </c:pt>
                <c:pt idx="43">
                  <c:v>Jim Kriz</c:v>
                </c:pt>
                <c:pt idx="44">
                  <c:v>Jim Sink</c:v>
                </c:pt>
                <c:pt idx="45">
                  <c:v>Joel Eaton</c:v>
                </c:pt>
                <c:pt idx="46">
                  <c:v>Jonathan Doherty</c:v>
                </c:pt>
                <c:pt idx="47">
                  <c:v>Jonathan Howell</c:v>
                </c:pt>
                <c:pt idx="48">
                  <c:v>Joni Blumstein</c:v>
                </c:pt>
                <c:pt idx="49">
                  <c:v>Joseph Holt</c:v>
                </c:pt>
                <c:pt idx="50">
                  <c:v>Julie Creighton</c:v>
                </c:pt>
                <c:pt idx="51">
                  <c:v>Justin Ellison</c:v>
                </c:pt>
                <c:pt idx="52">
                  <c:v>Karen Daniels</c:v>
                </c:pt>
                <c:pt idx="53">
                  <c:v>Karl Braun</c:v>
                </c:pt>
                <c:pt idx="54">
                  <c:v>Katherine Ducich</c:v>
                </c:pt>
                <c:pt idx="55">
                  <c:v>Ken Black</c:v>
                </c:pt>
                <c:pt idx="56">
                  <c:v>Ken Brennan</c:v>
                </c:pt>
                <c:pt idx="57">
                  <c:v>Ken Lonsdale</c:v>
                </c:pt>
                <c:pt idx="58">
                  <c:v>Kunst Miller</c:v>
                </c:pt>
                <c:pt idx="59">
                  <c:v>Laurel Elliston</c:v>
                </c:pt>
                <c:pt idx="60">
                  <c:v>Lena Cacioppo</c:v>
                </c:pt>
                <c:pt idx="61">
                  <c:v>Lena Creighton</c:v>
                </c:pt>
                <c:pt idx="62">
                  <c:v>Lena Hernandez</c:v>
                </c:pt>
                <c:pt idx="63">
                  <c:v>Linda Cazamias</c:v>
                </c:pt>
                <c:pt idx="64">
                  <c:v>Lindsay Shagiari</c:v>
                </c:pt>
                <c:pt idx="65">
                  <c:v>Logan Currie</c:v>
                </c:pt>
                <c:pt idx="66">
                  <c:v>Maria Bertelson</c:v>
                </c:pt>
                <c:pt idx="67">
                  <c:v>Mark Packer</c:v>
                </c:pt>
                <c:pt idx="68">
                  <c:v>Mary Zewe</c:v>
                </c:pt>
                <c:pt idx="69">
                  <c:v>Matt Abelman</c:v>
                </c:pt>
                <c:pt idx="70">
                  <c:v>Maureen Gastineau</c:v>
                </c:pt>
                <c:pt idx="71">
                  <c:v>Max Jones</c:v>
                </c:pt>
                <c:pt idx="72">
                  <c:v>Michael Stewart</c:v>
                </c:pt>
                <c:pt idx="73">
                  <c:v>Neil Knudson</c:v>
                </c:pt>
                <c:pt idx="74">
                  <c:v>Nora Paige</c:v>
                </c:pt>
                <c:pt idx="75">
                  <c:v>Odella Nelson</c:v>
                </c:pt>
                <c:pt idx="76">
                  <c:v>Parhena Norris</c:v>
                </c:pt>
                <c:pt idx="77">
                  <c:v>Patrick O'Donnell</c:v>
                </c:pt>
                <c:pt idx="78">
                  <c:v>Paul Gonzalez</c:v>
                </c:pt>
                <c:pt idx="79">
                  <c:v>Paul Stevenson</c:v>
                </c:pt>
                <c:pt idx="80">
                  <c:v>Pete Armstrong</c:v>
                </c:pt>
                <c:pt idx="81">
                  <c:v>Pete Kriz</c:v>
                </c:pt>
                <c:pt idx="82">
                  <c:v>Philip Fox</c:v>
                </c:pt>
                <c:pt idx="83">
                  <c:v>Rick Bensley</c:v>
                </c:pt>
                <c:pt idx="84">
                  <c:v>Robert Marley</c:v>
                </c:pt>
                <c:pt idx="85">
                  <c:v>Roger Barcio</c:v>
                </c:pt>
                <c:pt idx="86">
                  <c:v>Ruben Ausman</c:v>
                </c:pt>
                <c:pt idx="87">
                  <c:v>Ruben Dartt</c:v>
                </c:pt>
                <c:pt idx="88">
                  <c:v>Ryan Crowe</c:v>
                </c:pt>
                <c:pt idx="89">
                  <c:v>Sally Hughsby</c:v>
                </c:pt>
                <c:pt idx="90">
                  <c:v>Sally Knutson</c:v>
                </c:pt>
                <c:pt idx="91">
                  <c:v>Sandra Flanagan</c:v>
                </c:pt>
                <c:pt idx="92">
                  <c:v>Sandra Glassco</c:v>
                </c:pt>
                <c:pt idx="93">
                  <c:v>Sean O'Donnell</c:v>
                </c:pt>
                <c:pt idx="94">
                  <c:v>Shirley Jackson</c:v>
                </c:pt>
                <c:pt idx="95">
                  <c:v>Stephanie Phelps</c:v>
                </c:pt>
                <c:pt idx="96">
                  <c:v>Steve Nguyen</c:v>
                </c:pt>
                <c:pt idx="97">
                  <c:v>Steven Cartwright</c:v>
                </c:pt>
                <c:pt idx="98">
                  <c:v>Stewart Carmichael</c:v>
                </c:pt>
                <c:pt idx="99">
                  <c:v>Tamara Willingham</c:v>
                </c:pt>
                <c:pt idx="100">
                  <c:v>Ted Butterfield</c:v>
                </c:pt>
                <c:pt idx="101">
                  <c:v>Ted Trevino</c:v>
                </c:pt>
                <c:pt idx="102">
                  <c:v>Tracy Blumstein</c:v>
                </c:pt>
                <c:pt idx="103">
                  <c:v>Troy Staebel</c:v>
                </c:pt>
                <c:pt idx="104">
                  <c:v>Valerie Dominguez</c:v>
                </c:pt>
                <c:pt idx="105">
                  <c:v>Valerie Mitchum</c:v>
                </c:pt>
                <c:pt idx="106">
                  <c:v>Victoria Wilson</c:v>
                </c:pt>
                <c:pt idx="107">
                  <c:v>Zuschuss Donatelli</c:v>
                </c:pt>
              </c:strCache>
            </c:strRef>
          </c:cat>
          <c:val>
            <c:numRef>
              <c:f>'based on customer'!$C$4:$C$112</c:f>
              <c:numCache>
                <c:formatCode>General</c:formatCode>
                <c:ptCount val="108"/>
                <c:pt idx="0">
                  <c:v>1</c:v>
                </c:pt>
                <c:pt idx="1">
                  <c:v>1</c:v>
                </c:pt>
                <c:pt idx="2">
                  <c:v>2</c:v>
                </c:pt>
                <c:pt idx="3">
                  <c:v>1</c:v>
                </c:pt>
                <c:pt idx="4">
                  <c:v>7</c:v>
                </c:pt>
                <c:pt idx="5">
                  <c:v>2</c:v>
                </c:pt>
                <c:pt idx="6">
                  <c:v>7</c:v>
                </c:pt>
                <c:pt idx="7">
                  <c:v>2</c:v>
                </c:pt>
                <c:pt idx="8">
                  <c:v>2</c:v>
                </c:pt>
                <c:pt idx="9">
                  <c:v>3</c:v>
                </c:pt>
                <c:pt idx="10">
                  <c:v>6</c:v>
                </c:pt>
                <c:pt idx="11">
                  <c:v>2</c:v>
                </c:pt>
                <c:pt idx="12">
                  <c:v>2</c:v>
                </c:pt>
                <c:pt idx="13">
                  <c:v>1</c:v>
                </c:pt>
                <c:pt idx="14">
                  <c:v>4</c:v>
                </c:pt>
                <c:pt idx="15">
                  <c:v>1</c:v>
                </c:pt>
                <c:pt idx="16">
                  <c:v>1</c:v>
                </c:pt>
                <c:pt idx="17">
                  <c:v>1</c:v>
                </c:pt>
                <c:pt idx="18">
                  <c:v>1</c:v>
                </c:pt>
                <c:pt idx="19">
                  <c:v>2</c:v>
                </c:pt>
                <c:pt idx="20">
                  <c:v>3</c:v>
                </c:pt>
                <c:pt idx="21">
                  <c:v>3</c:v>
                </c:pt>
                <c:pt idx="22">
                  <c:v>2</c:v>
                </c:pt>
                <c:pt idx="23">
                  <c:v>1</c:v>
                </c:pt>
                <c:pt idx="24">
                  <c:v>1</c:v>
                </c:pt>
                <c:pt idx="25">
                  <c:v>2</c:v>
                </c:pt>
                <c:pt idx="26">
                  <c:v>1</c:v>
                </c:pt>
                <c:pt idx="27">
                  <c:v>1</c:v>
                </c:pt>
                <c:pt idx="28">
                  <c:v>1</c:v>
                </c:pt>
                <c:pt idx="29">
                  <c:v>1</c:v>
                </c:pt>
                <c:pt idx="30">
                  <c:v>2</c:v>
                </c:pt>
                <c:pt idx="31">
                  <c:v>1</c:v>
                </c:pt>
                <c:pt idx="32">
                  <c:v>1</c:v>
                </c:pt>
                <c:pt idx="33">
                  <c:v>2</c:v>
                </c:pt>
                <c:pt idx="34">
                  <c:v>1</c:v>
                </c:pt>
                <c:pt idx="35">
                  <c:v>2</c:v>
                </c:pt>
                <c:pt idx="36">
                  <c:v>1</c:v>
                </c:pt>
                <c:pt idx="37">
                  <c:v>1</c:v>
                </c:pt>
                <c:pt idx="38">
                  <c:v>1</c:v>
                </c:pt>
                <c:pt idx="39">
                  <c:v>1</c:v>
                </c:pt>
                <c:pt idx="40">
                  <c:v>3</c:v>
                </c:pt>
                <c:pt idx="41">
                  <c:v>2</c:v>
                </c:pt>
                <c:pt idx="42">
                  <c:v>2</c:v>
                </c:pt>
                <c:pt idx="43">
                  <c:v>1</c:v>
                </c:pt>
                <c:pt idx="44">
                  <c:v>3</c:v>
                </c:pt>
                <c:pt idx="45">
                  <c:v>6</c:v>
                </c:pt>
                <c:pt idx="46">
                  <c:v>1</c:v>
                </c:pt>
                <c:pt idx="47">
                  <c:v>2</c:v>
                </c:pt>
                <c:pt idx="48">
                  <c:v>6</c:v>
                </c:pt>
                <c:pt idx="49">
                  <c:v>5</c:v>
                </c:pt>
                <c:pt idx="50">
                  <c:v>1</c:v>
                </c:pt>
                <c:pt idx="51">
                  <c:v>4</c:v>
                </c:pt>
                <c:pt idx="52">
                  <c:v>1</c:v>
                </c:pt>
                <c:pt idx="53">
                  <c:v>3</c:v>
                </c:pt>
                <c:pt idx="54">
                  <c:v>1</c:v>
                </c:pt>
                <c:pt idx="55">
                  <c:v>2</c:v>
                </c:pt>
                <c:pt idx="56">
                  <c:v>3</c:v>
                </c:pt>
                <c:pt idx="57">
                  <c:v>2</c:v>
                </c:pt>
                <c:pt idx="58">
                  <c:v>4</c:v>
                </c:pt>
                <c:pt idx="59">
                  <c:v>1</c:v>
                </c:pt>
                <c:pt idx="60">
                  <c:v>3</c:v>
                </c:pt>
                <c:pt idx="61">
                  <c:v>7</c:v>
                </c:pt>
                <c:pt idx="62">
                  <c:v>2</c:v>
                </c:pt>
                <c:pt idx="63">
                  <c:v>1</c:v>
                </c:pt>
                <c:pt idx="64">
                  <c:v>2</c:v>
                </c:pt>
                <c:pt idx="65">
                  <c:v>1</c:v>
                </c:pt>
                <c:pt idx="66">
                  <c:v>1</c:v>
                </c:pt>
                <c:pt idx="67">
                  <c:v>5</c:v>
                </c:pt>
                <c:pt idx="68">
                  <c:v>1</c:v>
                </c:pt>
                <c:pt idx="69">
                  <c:v>1</c:v>
                </c:pt>
                <c:pt idx="70">
                  <c:v>1</c:v>
                </c:pt>
                <c:pt idx="71">
                  <c:v>1</c:v>
                </c:pt>
                <c:pt idx="72">
                  <c:v>1</c:v>
                </c:pt>
                <c:pt idx="73">
                  <c:v>1</c:v>
                </c:pt>
                <c:pt idx="74">
                  <c:v>2</c:v>
                </c:pt>
                <c:pt idx="75">
                  <c:v>2</c:v>
                </c:pt>
                <c:pt idx="76">
                  <c:v>1</c:v>
                </c:pt>
                <c:pt idx="77">
                  <c:v>2</c:v>
                </c:pt>
                <c:pt idx="78">
                  <c:v>2</c:v>
                </c:pt>
                <c:pt idx="79">
                  <c:v>1</c:v>
                </c:pt>
                <c:pt idx="80">
                  <c:v>1</c:v>
                </c:pt>
                <c:pt idx="81">
                  <c:v>1</c:v>
                </c:pt>
                <c:pt idx="82">
                  <c:v>1</c:v>
                </c:pt>
                <c:pt idx="83">
                  <c:v>3</c:v>
                </c:pt>
                <c:pt idx="84">
                  <c:v>3</c:v>
                </c:pt>
                <c:pt idx="85">
                  <c:v>1</c:v>
                </c:pt>
                <c:pt idx="86">
                  <c:v>1</c:v>
                </c:pt>
                <c:pt idx="87">
                  <c:v>1</c:v>
                </c:pt>
                <c:pt idx="88">
                  <c:v>4</c:v>
                </c:pt>
                <c:pt idx="89">
                  <c:v>3</c:v>
                </c:pt>
                <c:pt idx="90">
                  <c:v>1</c:v>
                </c:pt>
                <c:pt idx="91">
                  <c:v>1</c:v>
                </c:pt>
                <c:pt idx="92">
                  <c:v>1</c:v>
                </c:pt>
                <c:pt idx="93">
                  <c:v>2</c:v>
                </c:pt>
                <c:pt idx="94">
                  <c:v>1</c:v>
                </c:pt>
                <c:pt idx="95">
                  <c:v>3</c:v>
                </c:pt>
                <c:pt idx="96">
                  <c:v>4</c:v>
                </c:pt>
                <c:pt idx="97">
                  <c:v>5</c:v>
                </c:pt>
                <c:pt idx="98">
                  <c:v>2</c:v>
                </c:pt>
                <c:pt idx="99">
                  <c:v>2</c:v>
                </c:pt>
                <c:pt idx="100">
                  <c:v>7</c:v>
                </c:pt>
                <c:pt idx="101">
                  <c:v>1</c:v>
                </c:pt>
                <c:pt idx="102">
                  <c:v>8</c:v>
                </c:pt>
                <c:pt idx="103">
                  <c:v>2</c:v>
                </c:pt>
                <c:pt idx="104">
                  <c:v>2</c:v>
                </c:pt>
                <c:pt idx="105">
                  <c:v>1</c:v>
                </c:pt>
                <c:pt idx="106">
                  <c:v>5</c:v>
                </c:pt>
                <c:pt idx="107">
                  <c:v>3</c:v>
                </c:pt>
              </c:numCache>
            </c:numRef>
          </c:val>
          <c:extLst>
            <c:ext xmlns:c16="http://schemas.microsoft.com/office/drawing/2014/chart" uri="{C3380CC4-5D6E-409C-BE32-E72D297353CC}">
              <c16:uniqueId val="{00000001-39A2-4999-B887-5D7ED02D131B}"/>
            </c:ext>
          </c:extLst>
        </c:ser>
        <c:dLbls>
          <c:showLegendKey val="0"/>
          <c:showVal val="0"/>
          <c:showCatName val="0"/>
          <c:showSerName val="0"/>
          <c:showPercent val="0"/>
          <c:showBubbleSize val="0"/>
        </c:dLbls>
        <c:gapWidth val="219"/>
        <c:overlap val="-27"/>
        <c:axId val="1105814495"/>
        <c:axId val="1105819295"/>
      </c:barChart>
      <c:catAx>
        <c:axId val="11058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819295"/>
        <c:crosses val="autoZero"/>
        <c:auto val="1"/>
        <c:lblAlgn val="ctr"/>
        <c:lblOffset val="100"/>
        <c:noMultiLvlLbl val="0"/>
      </c:catAx>
      <c:valAx>
        <c:axId val="1105819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81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Sheet5!$A$4:$A$5</c:f>
              <c:strCache>
                <c:ptCount val="1"/>
                <c:pt idx="0">
                  <c:v>2017</c:v>
                </c:pt>
              </c:strCache>
            </c:strRef>
          </c:cat>
          <c:val>
            <c:numRef>
              <c:f>Sheet5!$B$4:$B$5</c:f>
              <c:numCache>
                <c:formatCode>General</c:formatCode>
                <c:ptCount val="1"/>
                <c:pt idx="0">
                  <c:v>7331.3679999999995</c:v>
                </c:pt>
              </c:numCache>
            </c:numRef>
          </c:val>
          <c:extLst>
            <c:ext xmlns:c16="http://schemas.microsoft.com/office/drawing/2014/chart" uri="{C3380CC4-5D6E-409C-BE32-E72D297353CC}">
              <c16:uniqueId val="{00000000-3708-43ED-99DC-C5F8FFD047A0}"/>
            </c:ext>
          </c:extLst>
        </c:ser>
        <c:dLbls>
          <c:showLegendKey val="0"/>
          <c:showVal val="0"/>
          <c:showCatName val="0"/>
          <c:showSerName val="0"/>
          <c:showPercent val="0"/>
          <c:showBubbleSize val="0"/>
        </c:dLbls>
        <c:gapWidth val="219"/>
        <c:overlap val="-27"/>
        <c:axId val="1316383872"/>
        <c:axId val="1316398752"/>
      </c:barChart>
      <c:catAx>
        <c:axId val="131638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98752"/>
        <c:crosses val="autoZero"/>
        <c:auto val="1"/>
        <c:lblAlgn val="ctr"/>
        <c:lblOffset val="100"/>
        <c:noMultiLvlLbl val="0"/>
      </c:catAx>
      <c:valAx>
        <c:axId val="131639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8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30-4A19-BF26-A0FA40DDFB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30-4A19-BF26-A0FA40DDFB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30-4A19-BF26-A0FA40DDFB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30-4A19-BF26-A0FA40DDFBC4}"/>
              </c:ext>
            </c:extLst>
          </c:dPt>
          <c:cat>
            <c:strRef>
              <c:f>Sheet5!$D$4:$D$8</c:f>
              <c:strCache>
                <c:ptCount val="4"/>
                <c:pt idx="0">
                  <c:v>Central</c:v>
                </c:pt>
                <c:pt idx="1">
                  <c:v>East</c:v>
                </c:pt>
                <c:pt idx="2">
                  <c:v>South</c:v>
                </c:pt>
                <c:pt idx="3">
                  <c:v>West</c:v>
                </c:pt>
              </c:strCache>
            </c:strRef>
          </c:cat>
          <c:val>
            <c:numRef>
              <c:f>Sheet5!$E$4:$E$8</c:f>
              <c:numCache>
                <c:formatCode>General</c:formatCode>
                <c:ptCount val="4"/>
                <c:pt idx="0">
                  <c:v>928.98599999999999</c:v>
                </c:pt>
                <c:pt idx="1">
                  <c:v>4348.3119999999999</c:v>
                </c:pt>
                <c:pt idx="2">
                  <c:v>114.264</c:v>
                </c:pt>
                <c:pt idx="3">
                  <c:v>1939.806</c:v>
                </c:pt>
              </c:numCache>
            </c:numRef>
          </c:val>
          <c:extLst>
            <c:ext xmlns:c16="http://schemas.microsoft.com/office/drawing/2014/chart" uri="{C3380CC4-5D6E-409C-BE32-E72D297353CC}">
              <c16:uniqueId val="{00000008-CC30-4A19-BF26-A0FA40DDFBC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project.xlsx]Sheet5!PivotTable3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Sheet5!$H$3</c:f>
              <c:strCache>
                <c:ptCount val="1"/>
                <c:pt idx="0">
                  <c:v>Total</c:v>
                </c:pt>
              </c:strCache>
            </c:strRef>
          </c:tx>
          <c:spPr>
            <a:solidFill>
              <a:schemeClr val="accent1"/>
            </a:solidFill>
            <a:ln>
              <a:noFill/>
            </a:ln>
            <a:effectLst/>
          </c:spPr>
          <c:invertIfNegative val="0"/>
          <c:cat>
            <c:strRef>
              <c:f>Sheet5!$G$4:$G$18</c:f>
              <c:strCache>
                <c:ptCount val="14"/>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Tables</c:v>
                </c:pt>
              </c:strCache>
            </c:strRef>
          </c:cat>
          <c:val>
            <c:numRef>
              <c:f>Sheet5!$H$4:$H$18</c:f>
              <c:numCache>
                <c:formatCode>General</c:formatCode>
                <c:ptCount val="14"/>
                <c:pt idx="0">
                  <c:v>347.77600000000001</c:v>
                </c:pt>
                <c:pt idx="1">
                  <c:v>52.448</c:v>
                </c:pt>
                <c:pt idx="2">
                  <c:v>141.22400000000002</c:v>
                </c:pt>
                <c:pt idx="3">
                  <c:v>164.04</c:v>
                </c:pt>
                <c:pt idx="4">
                  <c:v>3083.43</c:v>
                </c:pt>
                <c:pt idx="5">
                  <c:v>390.78200000000004</c:v>
                </c:pt>
                <c:pt idx="6">
                  <c:v>149.30799999999999</c:v>
                </c:pt>
                <c:pt idx="7">
                  <c:v>40.095999999999997</c:v>
                </c:pt>
                <c:pt idx="8">
                  <c:v>124.2</c:v>
                </c:pt>
                <c:pt idx="9">
                  <c:v>20.16</c:v>
                </c:pt>
                <c:pt idx="10">
                  <c:v>346.55</c:v>
                </c:pt>
                <c:pt idx="11">
                  <c:v>308.86399999999998</c:v>
                </c:pt>
                <c:pt idx="12">
                  <c:v>500.15999999999997</c:v>
                </c:pt>
                <c:pt idx="13">
                  <c:v>1662.3300000000002</c:v>
                </c:pt>
              </c:numCache>
            </c:numRef>
          </c:val>
          <c:extLst>
            <c:ext xmlns:c16="http://schemas.microsoft.com/office/drawing/2014/chart" uri="{C3380CC4-5D6E-409C-BE32-E72D297353CC}">
              <c16:uniqueId val="{00000000-9548-4375-9A59-F870FBB2F15D}"/>
            </c:ext>
          </c:extLst>
        </c:ser>
        <c:dLbls>
          <c:showLegendKey val="0"/>
          <c:showVal val="0"/>
          <c:showCatName val="0"/>
          <c:showSerName val="0"/>
          <c:showPercent val="0"/>
          <c:showBubbleSize val="0"/>
        </c:dLbls>
        <c:gapWidth val="182"/>
        <c:axId val="1316385312"/>
        <c:axId val="1316401632"/>
      </c:barChart>
      <c:catAx>
        <c:axId val="1316385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401632"/>
        <c:crosses val="autoZero"/>
        <c:auto val="1"/>
        <c:lblAlgn val="ctr"/>
        <c:lblOffset val="100"/>
        <c:noMultiLvlLbl val="0"/>
      </c:catAx>
      <c:valAx>
        <c:axId val="131640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38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3</xdr:col>
      <xdr:colOff>60960</xdr:colOff>
      <xdr:row>1</xdr:row>
      <xdr:rowOff>106680</xdr:rowOff>
    </xdr:from>
    <xdr:to>
      <xdr:col>8</xdr:col>
      <xdr:colOff>208260</xdr:colOff>
      <xdr:row>24</xdr:row>
      <xdr:rowOff>106680</xdr:rowOff>
    </xdr:to>
    <mc:AlternateContent xmlns:mc="http://schemas.openxmlformats.org/markup-compatibility/2006" xmlns:a14="http://schemas.microsoft.com/office/drawing/2010/main">
      <mc:Choice Requires="a14">
        <xdr:graphicFrame macro="">
          <xdr:nvGraphicFramePr>
            <xdr:cNvPr id="4" name="Customer Name">
              <a:extLst>
                <a:ext uri="{FF2B5EF4-FFF2-40B4-BE49-F238E27FC236}">
                  <a16:creationId xmlns:a16="http://schemas.microsoft.com/office/drawing/2014/main" id="{47FE4422-F7B4-26D6-43CF-0C83E9069AE8}"/>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2689860" y="289560"/>
              <a:ext cx="3195300" cy="420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274320</xdr:colOff>
      <xdr:row>1</xdr:row>
      <xdr:rowOff>30480</xdr:rowOff>
    </xdr:from>
    <xdr:to>
      <xdr:col>15</xdr:col>
      <xdr:colOff>579120</xdr:colOff>
      <xdr:row>16</xdr:row>
      <xdr:rowOff>30480</xdr:rowOff>
    </xdr:to>
    <xdr:graphicFrame macro="">
      <xdr:nvGraphicFramePr>
        <xdr:cNvPr id="5" name="Chart 4">
          <a:extLst>
            <a:ext uri="{FF2B5EF4-FFF2-40B4-BE49-F238E27FC236}">
              <a16:creationId xmlns:a16="http://schemas.microsoft.com/office/drawing/2014/main" id="{42CDBF7C-668B-C71E-A02E-28B13011D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3</xdr:row>
      <xdr:rowOff>160020</xdr:rowOff>
    </xdr:from>
    <xdr:to>
      <xdr:col>11</xdr:col>
      <xdr:colOff>358140</xdr:colOff>
      <xdr:row>16</xdr:row>
      <xdr:rowOff>76200</xdr:rowOff>
    </xdr:to>
    <xdr:graphicFrame macro="">
      <xdr:nvGraphicFramePr>
        <xdr:cNvPr id="2" name="Chart 1">
          <a:extLst>
            <a:ext uri="{FF2B5EF4-FFF2-40B4-BE49-F238E27FC236}">
              <a16:creationId xmlns:a16="http://schemas.microsoft.com/office/drawing/2014/main" id="{F647D2C2-5BAE-B421-4B1F-47CC9A09D2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533400</xdr:colOff>
      <xdr:row>3</xdr:row>
      <xdr:rowOff>175260</xdr:rowOff>
    </xdr:from>
    <xdr:to>
      <xdr:col>19</xdr:col>
      <xdr:colOff>228600</xdr:colOff>
      <xdr:row>16</xdr:row>
      <xdr:rowOff>106680</xdr:rowOff>
    </xdr:to>
    <xdr:graphicFrame macro="">
      <xdr:nvGraphicFramePr>
        <xdr:cNvPr id="3" name="Chart 2">
          <a:extLst>
            <a:ext uri="{FF2B5EF4-FFF2-40B4-BE49-F238E27FC236}">
              <a16:creationId xmlns:a16="http://schemas.microsoft.com/office/drawing/2014/main" id="{9EB72936-9A0B-BFEF-A78A-27908993E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586740</xdr:colOff>
      <xdr:row>17</xdr:row>
      <xdr:rowOff>38100</xdr:rowOff>
    </xdr:from>
    <xdr:to>
      <xdr:col>15</xdr:col>
      <xdr:colOff>556260</xdr:colOff>
      <xdr:row>38</xdr:row>
      <xdr:rowOff>15240</xdr:rowOff>
    </xdr:to>
    <xdr:graphicFrame macro="">
      <xdr:nvGraphicFramePr>
        <xdr:cNvPr id="4" name="Chart 3">
          <a:extLst>
            <a:ext uri="{FF2B5EF4-FFF2-40B4-BE49-F238E27FC236}">
              <a16:creationId xmlns:a16="http://schemas.microsoft.com/office/drawing/2014/main" id="{7C31CBB7-A0FB-7505-5688-3C9A07162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190500</xdr:colOff>
      <xdr:row>3</xdr:row>
      <xdr:rowOff>68580</xdr:rowOff>
    </xdr:from>
    <xdr:to>
      <xdr:col>1</xdr:col>
      <xdr:colOff>541020</xdr:colOff>
      <xdr:row>12</xdr:row>
      <xdr:rowOff>53340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A4294F46-21C5-4B98-B559-E469D1BD91A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0500" y="617220"/>
              <a:ext cx="96012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ajput" refreshedDate="45494.728537037037" createdVersion="8" refreshedVersion="8" minRefreshableVersion="3" recordCount="239" xr:uid="{AEE5542F-B923-4243-A405-7AEC1A196EB8}">
  <cacheSource type="worksheet">
    <worksheetSource ref="A1:K240" sheet="Sheet1"/>
  </cacheSource>
  <cacheFields count="14">
    <cacheField name="Order ID" numFmtId="0">
      <sharedItems count="113">
        <s v="CA-2014-104269"/>
        <s v="CA-2014-133690"/>
        <s v="CA-2014-118962"/>
        <s v="CA-2014-106376"/>
        <s v="CA-2014-166191"/>
        <s v="CA-2014-139892"/>
        <s v="CA-2014-115812"/>
        <s v="CA-2014-105893"/>
        <s v="CA-2014-139451"/>
        <s v="CA-2015-146262"/>
        <s v="CA-2015-110457"/>
        <s v="CA-2015-149734"/>
        <s v="US-2015-136476"/>
        <s v="CA-2015-110744"/>
        <s v="CA-2015-101007"/>
        <s v="CA-2015-163055"/>
        <s v="US-2015-108966"/>
        <s v="CA-2015-102281"/>
        <s v="CA-2016-129903"/>
        <s v="CA-2016-128867"/>
        <s v="CA-2016-119823"/>
        <s v="CA-2016-157749"/>
        <s v="CA-2016-159695"/>
        <s v="CA-2016-110366"/>
        <s v="CA-2016-161389"/>
        <s v="CA-2016-114489"/>
        <s v="CA-2016-149223"/>
        <s v="US-2016-125969"/>
        <s v="CA-2016-113817"/>
        <s v="CA-2016-152156"/>
        <s v="CA-2016-117590"/>
        <s v="CA-2016-137330"/>
        <s v="CA-2016-118255"/>
        <s v="CA-2016-162733"/>
        <s v="CA-2016-105816"/>
        <s v="CA-2016-138688"/>
        <s v="CA-2016-127208"/>
        <s v="CA-2016-103730"/>
        <s v="CA-2017-135860"/>
        <s v="US-2017-164147"/>
        <s v="CA-2017-126382"/>
        <s v="US-2017-107272"/>
        <s v="US-2017-124303"/>
        <s v="US-2017-109484"/>
        <s v="CA-2017-107720"/>
        <s v="US-2017-100930"/>
        <s v="CA-2017-161018"/>
        <s v="US-2017-118038"/>
        <s v="CA-2017-108329"/>
        <s v="CA-2017-120999"/>
        <s v="CA-2017-160514"/>
        <s v="CA-2016-121755"/>
        <s v="CA-2015-149587"/>
        <s v="CA-2016-145583"/>
        <s v="CA-2015-129476"/>
        <s v="CA-2017-107727"/>
        <s v="CA-2014-146703"/>
        <s v="CA-2014-110072"/>
        <s v="CA-2017-155558"/>
        <s v="CA-2016-130162"/>
        <s v="CA-2015-131457"/>
        <s v="US-2015-156867"/>
        <s v="US-2017-119662"/>
        <s v="CA-2016-154508"/>
        <s v="CA-2014-158274"/>
        <s v="CA-2016-114104"/>
        <s v="US-2015-101511"/>
        <s v="US-2015-118983"/>
        <s v="CA-2017-119004"/>
        <s v="CA-2015-135545"/>
        <s v="US-2014-147606"/>
        <s v="CA-2016-105018"/>
        <s v="CA-2015-137225"/>
        <s v="US-2017-116701"/>
        <s v="CA-2017-155376"/>
        <s v="CA-2015-169397"/>
        <s v="CA-2017-146780"/>
        <s v="US-2014-152030"/>
        <s v="CA-2015-117415"/>
        <s v="CA-2015-119697"/>
        <s v="US-2015-145436"/>
        <s v="CA-2016-158834"/>
        <s v="CA-2014-140004"/>
        <s v="CA-2017-114412"/>
        <s v="CA-2015-115742"/>
        <s v="US-2017-152366"/>
        <s v="US-2015-134026"/>
        <s v="US-2015-164175"/>
        <s v="CA-2014-167164"/>
        <s v="CA-2015-118948"/>
        <s v="CA-2017-140088"/>
        <s v="CA-2015-124919"/>
        <s v="CA-2016-111682"/>
        <s v="CA-2017-157833"/>
        <s v="CA-2016-169194"/>
        <s v="CA-2017-105074"/>
        <s v="CA-2016-157000"/>
        <s v="US-2017-156909"/>
        <s v="CA-2016-101343"/>
        <s v="CA-2014-115259"/>
        <s v="CA-2014-123260"/>
        <s v="CA-2014-143336"/>
        <s v="CA-2016-158568"/>
        <s v="US-2014-156216"/>
        <s v="US-2014-100853"/>
        <s v="CA-2017-114440"/>
        <s v="US-2015-150630"/>
        <s v="CA-2016-109806"/>
        <s v="CA-2016-106075"/>
        <s v="CA-2017-106180"/>
        <s v="CA-2017-139619"/>
        <s v="US-2014-134614"/>
        <s v="CA-2015-106320"/>
      </sharedItems>
    </cacheField>
    <cacheField name="Year" numFmtId="0">
      <sharedItems containsSemiMixedTypes="0" containsString="0" containsNumber="1" containsInteger="1" minValue="2014" maxValue="2017" count="4">
        <n v="2014"/>
        <n v="2015"/>
        <n v="2016"/>
        <n v="2017"/>
      </sharedItems>
    </cacheField>
    <cacheField name="Order Date" numFmtId="14">
      <sharedItems containsSemiMixedTypes="0" containsNonDate="0" containsDate="1" containsString="0" minDate="2014-01-03T00:00:00" maxDate="2017-12-26T00:00:00" count="106">
        <d v="2014-01-03T00:00:00"/>
        <d v="2014-03-08T00:00:00"/>
        <d v="2014-03-21T00:00:00"/>
        <d v="2014-05-08T00:00:00"/>
        <d v="2014-05-12T00:00:00"/>
        <d v="2014-05-13T00:00:00"/>
        <d v="2014-08-09T00:00:00"/>
        <d v="2014-08-25T00:00:00"/>
        <d v="2014-08-26T00:00:00"/>
        <d v="2014-08-27T00:00:00"/>
        <d v="2014-09-06T00:00:00"/>
        <d v="2014-09-13T00:00:00"/>
        <d v="2014-09-14T00:00:00"/>
        <d v="2014-09-20T00:00:00"/>
        <d v="2014-10-20T00:00:00"/>
        <d v="2014-10-22T00:00:00"/>
        <d v="2014-11-11T00:00:00"/>
        <d v="2014-11-19T00:00:00"/>
        <d v="2014-11-26T00:00:00"/>
        <d v="2014-12-10T00:00:00"/>
        <d v="2014-12-26T00:00:00"/>
        <d v="2015-01-31T00:00:00"/>
        <d v="2015-02-01T00:00:00"/>
        <d v="2015-02-03T00:00:00"/>
        <d v="2015-02-28T00:00:00"/>
        <d v="2015-03-09T00:00:00"/>
        <d v="2015-04-18T00:00:00"/>
        <d v="2015-04-26T00:00:00"/>
        <d v="2015-04-30T00:00:00"/>
        <d v="2015-05-04T00:00:00"/>
        <d v="2015-05-28T00:00:00"/>
        <d v="2015-05-31T00:00:00"/>
        <d v="2015-07-09T00:00:00"/>
        <d v="2015-09-02T00:00:00"/>
        <d v="2015-09-08T00:00:00"/>
        <d v="2015-09-17T00:00:00"/>
        <d v="2015-09-25T00:00:00"/>
        <d v="2015-10-15T00:00:00"/>
        <d v="2015-10-31T00:00:00"/>
        <d v="2015-11-10T00:00:00"/>
        <d v="2015-11-13T00:00:00"/>
        <d v="2015-11-21T00:00:00"/>
        <d v="2015-11-22T00:00:00"/>
        <d v="2015-11-24T00:00:00"/>
        <d v="2015-12-10T00:00:00"/>
        <d v="2015-12-15T00:00:00"/>
        <d v="2015-12-24T00:00:00"/>
        <d v="2015-12-27T00:00:00"/>
        <d v="2015-12-28T00:00:00"/>
        <d v="2016-01-12T00:00:00"/>
        <d v="2016-01-16T00:00:00"/>
        <d v="2016-03-11T00:00:00"/>
        <d v="2016-03-13T00:00:00"/>
        <d v="2016-04-06T00:00:00"/>
        <d v="2016-05-04T00:00:00"/>
        <d v="2016-05-09T00:00:00"/>
        <d v="2016-05-12T00:00:00"/>
        <d v="2016-06-09T00:00:00"/>
        <d v="2016-06-11T00:00:00"/>
        <d v="2016-06-17T00:00:00"/>
        <d v="2016-06-20T00:00:00"/>
        <d v="2016-07-11T00:00:00"/>
        <d v="2016-07-16T00:00:00"/>
        <d v="2016-07-17T00:00:00"/>
        <d v="2016-08-11T00:00:00"/>
        <d v="2016-08-12T00:00:00"/>
        <d v="2016-08-29T00:00:00"/>
        <d v="2016-09-12T00:00:00"/>
        <d v="2016-09-17T00:00:00"/>
        <d v="2016-09-18T00:00:00"/>
        <d v="2016-10-13T00:00:00"/>
        <d v="2016-10-28T00:00:00"/>
        <d v="2016-11-03T00:00:00"/>
        <d v="2016-11-05T00:00:00"/>
        <d v="2016-11-12T00:00:00"/>
        <d v="2016-11-16T00:00:00"/>
        <d v="2016-11-20T00:00:00"/>
        <d v="2016-11-28T00:00:00"/>
        <d v="2016-12-06T00:00:00"/>
        <d v="2017-01-12T00:00:00"/>
        <d v="2017-02-02T00:00:00"/>
        <d v="2017-03-06T00:00:00"/>
        <d v="2017-04-15T00:00:00"/>
        <d v="2017-04-21T00:00:00"/>
        <d v="2017-05-11T00:00:00"/>
        <d v="2017-05-28T00:00:00"/>
        <d v="2017-06-07T00:00:00"/>
        <d v="2017-06-11T00:00:00"/>
        <d v="2017-06-17T00:00:00"/>
        <d v="2017-06-24T00:00:00"/>
        <d v="2017-07-04T00:00:00"/>
        <d v="2017-07-16T00:00:00"/>
        <d v="2017-09-11T00:00:00"/>
        <d v="2017-09-12T00:00:00"/>
        <d v="2017-09-14T00:00:00"/>
        <d v="2017-09-18T00:00:00"/>
        <d v="2017-09-19T00:00:00"/>
        <d v="2017-10-09T00:00:00"/>
        <d v="2017-10-19T00:00:00"/>
        <d v="2017-10-26T00:00:00"/>
        <d v="2017-11-13T00:00:00"/>
        <d v="2017-11-23T00:00:00"/>
        <d v="2017-12-11T00:00:00"/>
        <d v="2017-12-17T00:00:00"/>
        <d v="2017-12-22T00:00:00"/>
        <d v="2017-12-25T00:00:00"/>
      </sharedItems>
      <fieldGroup par="13"/>
    </cacheField>
    <cacheField name="Ship Date" numFmtId="0">
      <sharedItems containsDate="1" containsMixedTypes="1" minDate="2014-01-09T00:00:00" maxDate="2017-12-12T00:00:00" count="104">
        <d v="2014-06-03T00:00:00"/>
        <d v="2014-05-08T00:00:00"/>
        <d v="2014-09-08T00:00:00"/>
        <d v="2014-10-12T00:00:00"/>
        <d v="2014-09-12T00:00:00"/>
        <d v="2014-12-09T00:00:00"/>
        <s v="6/14/2014"/>
        <s v="11/18/2014"/>
        <s v="10/16/2014"/>
        <d v="2015-09-01T00:00:00"/>
        <d v="2015-06-03T00:00:00"/>
        <d v="2015-08-09T00:00:00"/>
        <d v="2015-10-04T00:00:00"/>
        <d v="2015-12-09T00:00:00"/>
        <s v="2/13/2015"/>
        <s v="8/16/2015"/>
        <s v="10/18/2015"/>
        <s v="10/14/2015"/>
        <d v="2016-04-12T00:00:00"/>
        <d v="2016-10-11T00:00:00"/>
        <d v="2016-06-06T00:00:00"/>
        <d v="2016-09-06T00:00:00"/>
        <d v="2016-10-04T00:00:00"/>
        <d v="2016-07-09T00:00:00"/>
        <d v="2016-10-12T00:00:00"/>
        <d v="2016-09-12T00:00:00"/>
        <d v="2016-11-09T00:00:00"/>
        <d v="2016-11-11T00:00:00"/>
        <s v="12/13/2016"/>
        <s v="3/13/2016"/>
        <d v="2016-12-05T00:00:00"/>
        <s v="12/17/2016"/>
        <s v="6/16/2016"/>
        <s v="6/15/2016"/>
        <d v="2017-07-12T00:00:00"/>
        <d v="2017-05-02T00:00:00"/>
        <d v="2017-07-06T00:00:00"/>
        <d v="2017-12-11T00:00:00"/>
        <s v="7/13/2017"/>
        <s v="11/13/2017"/>
        <d v="2017-12-04T00:00:00"/>
        <d v="2017-11-11T00:00:00"/>
        <d v="2017-11-12T00:00:00"/>
        <s v="12/14/2017"/>
        <s v="9/15/2017"/>
        <s v="11/16/2017"/>
        <s v="1/20/2016"/>
        <d v="2015-05-02T00:00:00"/>
        <s v="10/19/2016"/>
        <s v="10/20/2015"/>
        <s v="10/23/2017"/>
        <s v="10/25/2014"/>
        <s v="10/28/2014"/>
        <d v="2017-02-11T00:00:00"/>
        <d v="2016-01-11T00:00:00"/>
        <d v="2015-06-11T00:00:00"/>
        <s v="11/17/2015"/>
        <s v="11/20/2016"/>
        <s v="11/24/2014"/>
        <s v="11/24/2016"/>
        <s v="11/23/2015"/>
        <s v="11/26/2015"/>
        <s v="11/28/2017"/>
        <s v="11/30/2015"/>
        <d v="2014-01-12T00:00:00"/>
        <d v="2016-02-12T00:00:00"/>
        <s v="12/19/2015"/>
        <s v="12/21/2017"/>
        <s v="12/27/2017"/>
        <s v="12/27/2015"/>
        <s v="12/30/2017"/>
        <s v="12/28/2014"/>
        <s v="12/31/2015"/>
        <d v="2015-04-03T00:00:00"/>
        <s v="3/16/2016"/>
        <s v="3/25/2014"/>
        <s v="4/20/2017"/>
        <s v="4/22/2015"/>
        <s v="4/25/2017"/>
        <d v="2015-02-05T00:00:00"/>
        <d v="2015-05-05T00:00:00"/>
        <s v="5/15/2014"/>
        <d v="2015-03-06T00:00:00"/>
        <s v="5/30/2017"/>
        <d v="2015-02-06T00:00:00"/>
        <s v="6/18/2016"/>
        <s v="6/20/2017"/>
        <s v="6/25/2016"/>
        <s v="6/29/2017"/>
        <s v="7/22/2016"/>
        <s v="7/18/2017"/>
        <s v="8/27/2014"/>
        <s v="8/30/2014"/>
        <d v="2014-01-09T00:00:00"/>
        <d v="2016-02-09T00:00:00"/>
        <s v="9/17/2014"/>
        <s v="9/19/2014"/>
        <s v="9/17/2017"/>
        <s v="9/21/2015"/>
        <s v="9/22/2016"/>
        <s v="9/23/2016"/>
        <s v="9/23/2017"/>
        <s v="9/25/2014"/>
        <s v="9/30/2015"/>
      </sharedItems>
    </cacheField>
    <cacheField name="Customer ID" numFmtId="0">
      <sharedItems count="108">
        <s v="DB-13060"/>
        <s v="BS-11755"/>
        <s v="CS-12130"/>
        <s v="BS-11590"/>
        <s v="DK-13150"/>
        <s v="BM-11140"/>
        <s v="BH-11710"/>
        <s v="PK-19075"/>
        <s v="DN-13690"/>
        <s v="VW-21775"/>
        <s v="DK-13090"/>
        <s v="JC-16105"/>
        <s v="GG-14650"/>
        <s v="HA-14920"/>
        <s v="MS-17980"/>
        <s v="DS-13180"/>
        <s v="SO-20335"/>
        <s v="MP-17470"/>
        <s v="GZ-14470"/>
        <s v="CL-12565"/>
        <s v="KD-16270"/>
        <s v="KL-16645"/>
        <s v="GM-14455"/>
        <s v="JD-15895"/>
        <s v="IM-15070"/>
        <s v="JE-16165"/>
        <s v="ER-13855"/>
        <s v="LS-16975"/>
        <s v="MJ-17740"/>
        <s v="CG-12520"/>
        <s v="GH-14485"/>
        <s v="KB-16585"/>
        <s v="ON-18715"/>
        <s v="TT-21070"/>
        <s v="JM-15265"/>
        <s v="DV-13045"/>
        <s v="SC-20770"/>
        <s v="SC-20725"/>
        <s v="JH-15985"/>
        <s v="DW-13585"/>
        <s v="HK-14890"/>
        <s v="TS-21610"/>
        <s v="FH-14365"/>
        <s v="RB-19705"/>
        <s v="VM-21685"/>
        <s v="CS-12400"/>
        <s v="PN-18775"/>
        <s v="KB-16600"/>
        <s v="LE-16810"/>
        <s v="LC-16930"/>
        <s v="DB-13120"/>
        <s v="EH-13945"/>
        <s v="KB-16315"/>
        <s v="LC-16885"/>
        <s v="PA-19060"/>
        <s v="MA-17560"/>
        <s v="PO-18865"/>
        <s v="MG-17680"/>
        <s v="PG-18895"/>
        <s v="JH-15910"/>
        <s v="MZ-17515"/>
        <s v="LC-16870"/>
        <s v="RD-19900"/>
        <s v="RM-19675"/>
        <s v="NP-18670"/>
        <s v="JE-15745"/>
        <s v="HP-14815"/>
        <s v="JM-15250"/>
        <s v="KM-16720"/>
        <s v="SK-19990"/>
        <s v="JK-15640"/>
        <s v="LC-17140"/>
        <s v="SG-20080"/>
        <s v="JB-15925"/>
        <s v="CV-12805"/>
        <s v="AD-10180"/>
        <s v="SN-20710"/>
        <s v="EM-13960"/>
        <s v="VD-21670"/>
        <s v="TW-21025"/>
        <s v="CB-12025"/>
        <s v="AA-10480"/>
        <s v="DP-13000"/>
        <s v="SJ-20500"/>
        <s v="PS-18970"/>
        <s v="AG-10270"/>
        <s v="NK-18490"/>
        <s v="SP-20650"/>
        <s v="TB-21055"/>
        <s v="KD-16345"/>
        <s v="LH-16900"/>
        <s v="MB-17305"/>
        <s v="AM-10360"/>
        <s v="SF-20065"/>
        <s v="RA-19885"/>
        <s v="RC-19960"/>
        <s v="FM-14290"/>
        <s v="ZD-21925"/>
        <s v="RB-19465"/>
        <s v="EA-14035"/>
        <s v="JB-15400"/>
        <s v="TB-21520"/>
        <s v="JS-15685"/>
        <s v="HM-14980"/>
        <s v="SH-19975"/>
        <s v="ES-14080"/>
        <s v="PF-19165"/>
        <s v="EB-13870"/>
      </sharedItems>
    </cacheField>
    <cacheField name="Customer Name" numFmtId="0">
      <sharedItems count="108">
        <s v="Dave Brooks"/>
        <s v="Bruce Stewart"/>
        <s v="Chad Sievert"/>
        <s v="Brendan Sweed"/>
        <s v="David Kendrick"/>
        <s v="Becky Martin"/>
        <s v="Brosina Hoffman"/>
        <s v="Pete Kriz"/>
        <s v="Duane Noonan"/>
        <s v="Victoria Wilson"/>
        <s v="Dave Kipp"/>
        <s v="Julie Creighton"/>
        <s v="Greg Guthrie"/>
        <s v="Helen Andreada"/>
        <s v="Michael Stewart"/>
        <s v="David Smith"/>
        <s v="Sean O'Donnell"/>
        <s v="Mark Packer"/>
        <s v="Gary Zandusky"/>
        <s v="Clay Ludtke"/>
        <s v="Karen Daniels"/>
        <s v="Ken Lonsdale"/>
        <s v="Gary Mitchum"/>
        <s v="Jonathan Doherty"/>
        <s v="Irene Maddox"/>
        <s v="Justin Ellison"/>
        <s v="Elpida Rittenbach"/>
        <s v="Lindsay Shagiari"/>
        <s v="Max Jones"/>
        <s v="Claire Gute"/>
        <s v="Gene Hale"/>
        <s v="Ken Black"/>
        <s v="Odella Nelson"/>
        <s v="Ted Trevino"/>
        <s v="Janet Molinari"/>
        <s v="Darrin Van Huff"/>
        <s v="Stewart Carmichael"/>
        <s v="Steven Cartwright"/>
        <s v="Joseph Holt"/>
        <s v="Dorothy Wardle"/>
        <s v="Heather Kirkland"/>
        <s v="Troy Staebel"/>
        <s v="Fred Hopkins"/>
        <s v="Roger Barcio"/>
        <s v="Valerie Mitchum"/>
        <s v="Christopher Schild"/>
        <s v="Parhena Norris"/>
        <s v="Ken Brennan"/>
        <s v="Laurel Elliston"/>
        <s v="Linda Cazamias"/>
        <s v="David Bremer"/>
        <s v="Eric Hoffmann"/>
        <s v="Karl Braun"/>
        <s v="Lena Creighton"/>
        <s v="Pete Armstrong"/>
        <s v="Matt Abelman"/>
        <s v="Patrick O'Donnell"/>
        <s v="Maureen Gastineau"/>
        <s v="Paul Gonzalez"/>
        <s v="Jonathan Howell"/>
        <s v="Mary Zewe"/>
        <s v="Lena Cacioppo"/>
        <s v="Ruben Dartt"/>
        <s v="Robert Marley"/>
        <s v="Nora Paige"/>
        <s v="Joel Eaton"/>
        <s v="Harold Pawlan"/>
        <s v="Janet Martin"/>
        <s v="Kunst Miller"/>
        <s v="Sally Knutson"/>
        <s v="Jim Kriz"/>
        <s v="Logan Currie"/>
        <s v="Sandra Glassco"/>
        <s v="Joni Blumstein"/>
        <s v="Cynthia Voltz"/>
        <s v="Alan Dominguez"/>
        <s v="Steve Nguyen"/>
        <s v="Eric Murdock"/>
        <s v="Valerie Dominguez"/>
        <s v="Tamara Willingham"/>
        <s v="Cassandra Brandow"/>
        <s v="Andrew Allen"/>
        <s v="Darren Powers"/>
        <s v="Shirley Jackson"/>
        <s v="Paul Stevenson"/>
        <s v="Alejandro Grove"/>
        <s v="Neil Knudson"/>
        <s v="Stephanie Phelps"/>
        <s v="Ted Butterfield"/>
        <s v="Katherine Ducich"/>
        <s v="Lena Hernandez"/>
        <s v="Maria Bertelson"/>
        <s v="Alice McCarthy"/>
        <s v="Sandra Flanagan"/>
        <s v="Ruben Ausman"/>
        <s v="Ryan Crowe"/>
        <s v="Frank Merwin"/>
        <s v="Zuschuss Donatelli"/>
        <s v="Rick Bensley"/>
        <s v="Erin Ashbrook"/>
        <s v="Jennifer Braxton"/>
        <s v="Tracy Blumstein"/>
        <s v="Jim Sink"/>
        <s v="Henry MacAllister"/>
        <s v="Sally Hughsby"/>
        <s v="Erin Smith"/>
        <s v="Philip Fox"/>
        <s v="Emily Burns"/>
      </sharedItems>
    </cacheField>
    <cacheField name="City" numFmtId="0">
      <sharedItems count="69">
        <s v="Seattle"/>
        <s v="Denver"/>
        <s v="Los Angeles"/>
        <s v="Gilbert"/>
        <s v="Decatur"/>
        <s v="San Antonio"/>
        <s v="Madison"/>
        <s v="San Francisco"/>
        <s v="Medina"/>
        <s v="Durham"/>
        <s v="Bristol"/>
        <s v="Pasadena"/>
        <s v="Dallas"/>
        <s v="Detroit"/>
        <s v="Fort Lauderdale"/>
        <s v="New York City"/>
        <s v="Rochester"/>
        <s v="Urbandale"/>
        <s v="Springfield"/>
        <s v="Chicago"/>
        <s v="Houston"/>
        <s v="Philadelphia"/>
        <s v="Franklin"/>
        <s v="Saint Paul"/>
        <s v="Henderson"/>
        <s v="Richardson"/>
        <s v="Fremont"/>
        <s v="Eagan"/>
        <s v="Wilmington"/>
        <s v="Saginaw"/>
        <s v="Columbus"/>
        <s v="Phoenix"/>
        <s v="Portland"/>
        <s v="Westfield"/>
        <s v="Tampa"/>
        <s v="Whittier"/>
        <s v="Naperville"/>
        <s v="Santa Clara"/>
        <s v="Minneapolis"/>
        <s v="Roseville"/>
        <s v="Orland Park"/>
        <s v="Westland"/>
        <s v="Newark"/>
        <s v="Redlands"/>
        <s v="Aurora"/>
        <s v="Carlsbad"/>
        <s v="Monroe"/>
        <s v="Edmond"/>
        <s v="Fort Worth"/>
        <s v="Charlotte"/>
        <s v="Fairfield"/>
        <s v="Independence"/>
        <s v="Dublin"/>
        <s v="Columbia"/>
        <s v="Scottsdale"/>
        <s v="Hamilton"/>
        <s v="Concord"/>
        <s v="New Albany"/>
        <s v="Memphis"/>
        <s v="West Jordan"/>
        <s v="San Jose"/>
        <s v="Troy"/>
        <s v="Dover"/>
        <s v="Akron"/>
        <s v="Grand Prairie"/>
        <s v="Jackson"/>
        <s v="Melbourne"/>
        <s v="Bloomington"/>
        <s v="Orem"/>
      </sharedItems>
    </cacheField>
    <cacheField name="State" numFmtId="0">
      <sharedItems count="31">
        <s v="Washington"/>
        <s v="Colorado"/>
        <s v="California"/>
        <s v="Arizona"/>
        <s v="Illinois"/>
        <s v="Texas"/>
        <s v="Wisconsin"/>
        <s v="Ohio"/>
        <s v="North Carolina"/>
        <s v="Tennessee"/>
        <s v="Michigan"/>
        <s v="Florida"/>
        <s v="New York"/>
        <s v="Minnesota"/>
        <s v="Iowa"/>
        <s v="Virginia"/>
        <s v="Pennsylvania"/>
        <s v="Kentucky"/>
        <s v="Nebraska"/>
        <s v="Alabama"/>
        <s v="Delaware"/>
        <s v="Oregon"/>
        <s v="New Jersey"/>
        <s v="New Mexico"/>
        <s v="Louisiana"/>
        <s v="Oklahoma"/>
        <s v="Connecticut"/>
        <s v="Missouri"/>
        <s v="Indiana"/>
        <s v="Utah"/>
        <s v="South Carolina"/>
      </sharedItems>
    </cacheField>
    <cacheField name="Region" numFmtId="0">
      <sharedItems count="4">
        <s v="West"/>
        <s v="Central"/>
        <s v="East"/>
        <s v="South"/>
      </sharedItems>
    </cacheField>
    <cacheField name="Sub-Category" numFmtId="0">
      <sharedItems count="16">
        <s v="Chairs"/>
        <s v="Tables"/>
        <s v="Appliances"/>
        <s v="Paper"/>
        <s v="Art"/>
        <s v="Phones"/>
        <s v="Storage"/>
        <s v="Accessories"/>
        <s v="Machines"/>
        <s v="Furnishings"/>
        <s v="Binders"/>
        <s v="Labels"/>
        <s v="Bookcases"/>
        <s v="Envelopes"/>
        <s v="Fasteners"/>
        <s v="Supplies"/>
      </sharedItems>
    </cacheField>
    <cacheField name="Sales" numFmtId="0">
      <sharedItems containsSemiMixedTypes="0" containsString="0" containsNumber="1" minValue="1.248" maxValue="8159.9520000000002" count="235">
        <n v="457.56799999999998"/>
        <n v="218.75"/>
        <n v="2.6"/>
        <n v="20.94"/>
        <n v="110.96"/>
        <n v="340.14400000000001"/>
        <n v="1113.0239999999999"/>
        <n v="167.96799999999999"/>
        <n v="24.815999999999999"/>
        <n v="408.74400000000003"/>
        <n v="9.9359999999999999"/>
        <n v="8159.9520000000002"/>
        <n v="275.928"/>
        <n v="1740.06"/>
        <n v="32.064"/>
        <n v="177.98"/>
        <n v="143.976"/>
        <n v="48.86"/>
        <n v="7.28"/>
        <n v="907.15200000000004"/>
        <n v="18.504000000000001"/>
        <n v="114.9"/>
        <n v="1706.184"/>
        <n v="911.42399999999998"/>
        <n v="665.88"/>
        <n v="14.9"/>
        <n v="21.39"/>
        <n v="23.68"/>
        <n v="452.45"/>
        <n v="62.981999999999999"/>
        <n v="1188"/>
        <n v="89.584000000000003"/>
        <n v="787.53"/>
        <n v="200.98400000000001"/>
        <n v="157.79400000000001"/>
        <n v="671.93"/>
        <n v="20.8"/>
        <n v="2.2000000000000002"/>
        <n v="622.45000000000005"/>
        <n v="21.98"/>
        <n v="957.57749999999999"/>
        <n v="22.367999999999999"/>
        <n v="899.13599999999997"/>
        <n v="71.760000000000005"/>
        <n v="51.84"/>
        <n v="626.35199999999998"/>
        <n v="19.899999999999999"/>
        <n v="23.92"/>
        <n v="75.959999999999994"/>
        <n v="27.24"/>
        <n v="75.88"/>
        <n v="25.92"/>
        <n v="419.68"/>
        <n v="158.36799999999999"/>
        <n v="82.8"/>
        <n v="407.976"/>
        <n v="384.45"/>
        <n v="149.97"/>
        <n v="1951.84"/>
        <n v="171.55"/>
        <n v="77.88"/>
        <n v="81.424000000000007"/>
        <n v="238.56"/>
        <n v="27.68"/>
        <n v="261.95999999999998"/>
        <n v="731.94"/>
        <n v="1097.5440000000001"/>
        <n v="190.92"/>
        <n v="19.46"/>
        <n v="60.34"/>
        <n v="45.98"/>
        <n v="17.46"/>
        <n v="5.98"/>
        <n v="15.26"/>
        <n v="1029.95"/>
        <n v="14.62"/>
        <n v="208.16"/>
        <n v="16.739999999999998"/>
        <n v="47.04"/>
        <n v="30.84"/>
        <n v="226.56"/>
        <n v="115.02"/>
        <n v="68.040000000000006"/>
        <n v="83.92"/>
        <n v="131.97999999999999"/>
        <n v="15.92"/>
        <n v="52.29"/>
        <n v="91.99"/>
        <n v="59.97"/>
        <n v="78.304000000000002"/>
        <n v="21.456"/>
        <n v="35.167999999999999"/>
        <n v="2.3879999999999999"/>
        <n v="243.99199999999999"/>
        <n v="2.9460000000000002"/>
        <n v="16.056000000000001"/>
        <n v="5.6820000000000004"/>
        <n v="46.26"/>
        <n v="233.86"/>
        <n v="620.61450000000002"/>
        <n v="5.3280000000000003"/>
        <n v="258.072"/>
        <n v="617.976"/>
        <n v="96.53"/>
        <n v="1.248"/>
        <n v="9.7080000000000002"/>
        <n v="444.76799999999997"/>
        <n v="147.16800000000001"/>
        <n v="10.56"/>
        <n v="11.648"/>
        <n v="90.57"/>
        <n v="12.96"/>
        <n v="53.34"/>
        <n v="32.96"/>
        <n v="20.04"/>
        <n v="35.44"/>
        <n v="11.52"/>
        <n v="4.0199999999999996"/>
        <n v="76.176000000000002"/>
        <n v="65.88"/>
        <n v="43.12"/>
        <n v="339.96"/>
        <n v="29.472000000000001"/>
        <n v="211.96"/>
        <n v="93.888000000000005"/>
        <n v="19.989999999999998"/>
        <n v="6.16"/>
        <n v="93.06"/>
        <n v="302.37599999999998"/>
        <n v="14.28"/>
        <n v="238.89599999999999"/>
        <n v="102.36"/>
        <n v="36.881999999999998"/>
        <n v="230.376"/>
        <n v="28.4"/>
        <n v="503.96"/>
        <n v="149.94999999999999"/>
        <n v="29"/>
        <n v="944.93"/>
        <n v="396.80200000000002"/>
        <n v="15.88"/>
        <n v="68.81"/>
        <n v="2.544"/>
        <n v="74.111999999999995"/>
        <n v="27.992000000000001"/>
        <n v="3.3039999999999998"/>
        <n v="13.98"/>
        <n v="25.824000000000002"/>
        <n v="146.72999999999999"/>
        <n v="79.760000000000005"/>
        <n v="19.3"/>
        <n v="7.16"/>
        <n v="3.28"/>
        <n v="66.284000000000006"/>
        <n v="839.43"/>
        <n v="5.5839999999999996"/>
        <n v="22.704000000000001"/>
        <n v="19.776"/>
        <n v="72.703999999999994"/>
        <n v="479.988"/>
        <n v="27.167999999999999"/>
        <n v="41.96"/>
        <n v="600.55799999999999"/>
        <n v="113.328"/>
        <n v="532.39919999999995"/>
        <n v="212.05799999999999"/>
        <n v="371.16800000000001"/>
        <n v="54.384"/>
        <n v="161.56800000000001"/>
        <n v="389.69600000000003"/>
        <n v="157.91999999999999"/>
        <n v="203.184"/>
        <n v="7.4080000000000004"/>
        <n v="6.048"/>
        <n v="15.552"/>
        <n v="38.22"/>
        <n v="75.180000000000007"/>
        <n v="89.99"/>
        <n v="97.263999999999996"/>
        <n v="831.93600000000004"/>
        <n v="97.04"/>
        <n v="72.784000000000006"/>
        <n v="213.11500000000001"/>
        <n v="55.5"/>
        <n v="6.63"/>
        <n v="301.95999999999998"/>
        <n v="58.38"/>
        <n v="105.52"/>
        <n v="80.88"/>
        <n v="208.56"/>
        <n v="32.4"/>
        <n v="319.41000000000003"/>
        <n v="14.56"/>
        <n v="30"/>
        <n v="48.48"/>
        <n v="1.68"/>
        <n v="51.311999999999998"/>
        <n v="45"/>
        <n v="21.8"/>
        <n v="21.744"/>
        <n v="37.223999999999997"/>
        <n v="20.015999999999998"/>
        <n v="71.372"/>
        <n v="40.095999999999997"/>
        <n v="4.72"/>
        <n v="23.975999999999999"/>
        <n v="130.464"/>
        <n v="176.8"/>
        <n v="8.56"/>
        <n v="213.48"/>
        <n v="22.72"/>
        <n v="64.623999999999995"/>
        <n v="95.975999999999999"/>
        <n v="1.788"/>
        <n v="18.648"/>
        <n v="52.448"/>
        <n v="20.16"/>
        <n v="19.05"/>
        <n v="3083.43"/>
        <n v="9.6180000000000003"/>
        <n v="124.2"/>
        <n v="3.2639999999999998"/>
        <n v="86.304000000000002"/>
        <n v="6.8579999999999997"/>
        <n v="15.76"/>
        <n v="20.100000000000001"/>
        <n v="73.584000000000003"/>
        <n v="6.48"/>
        <n v="4.6159999999999997"/>
        <n v="8.82"/>
        <n v="10.86"/>
        <n v="143.69999999999999"/>
        <n v="95.616"/>
        <n v="617.70000000000005"/>
        <n v="1044.6300000000001"/>
      </sharedItems>
    </cacheField>
    <cacheField name="Months (Order Date)" numFmtId="0" databaseField="0">
      <fieldGroup base="2">
        <rangePr groupBy="months" startDate="2014-01-03T00:00:00" endDate="2017-12-26T00:00:00"/>
        <groupItems count="14">
          <s v="&lt;03-01-2014"/>
          <s v="Jan"/>
          <s v="Feb"/>
          <s v="Mar"/>
          <s v="Apr"/>
          <s v="May"/>
          <s v="Jun"/>
          <s v="Jul"/>
          <s v="Aug"/>
          <s v="Sep"/>
          <s v="Oct"/>
          <s v="Nov"/>
          <s v="Dec"/>
          <s v="&gt;26-12-2017"/>
        </groupItems>
      </fieldGroup>
    </cacheField>
    <cacheField name="Quarters (Order Date)" numFmtId="0" databaseField="0">
      <fieldGroup base="2">
        <rangePr groupBy="quarters" startDate="2014-01-03T00:00:00" endDate="2017-12-26T00:00:00"/>
        <groupItems count="6">
          <s v="&lt;03-01-2014"/>
          <s v="Qtr1"/>
          <s v="Qtr2"/>
          <s v="Qtr3"/>
          <s v="Qtr4"/>
          <s v="&gt;26-12-2017"/>
        </groupItems>
      </fieldGroup>
    </cacheField>
    <cacheField name="Years (Order Date)" numFmtId="0" databaseField="0">
      <fieldGroup base="2">
        <rangePr groupBy="years" startDate="2014-01-03T00:00:00" endDate="2017-12-26T00:00:00"/>
        <groupItems count="6">
          <s v="&lt;03-01-2014"/>
          <s v="2014"/>
          <s v="2015"/>
          <s v="2016"/>
          <s v="2017"/>
          <s v="&gt;26-12-2017"/>
        </groupItems>
      </fieldGroup>
    </cacheField>
  </cacheFields>
  <extLst>
    <ext xmlns:x14="http://schemas.microsoft.com/office/spreadsheetml/2009/9/main" uri="{725AE2AE-9491-48be-B2B4-4EB974FC3084}">
      <x14:pivotCacheDefinition pivotCacheId="2774392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ajput" refreshedDate="45663.735529861115" createdVersion="8" refreshedVersion="8" minRefreshableVersion="3" recordCount="239" xr:uid="{DD7EE139-22D8-462C-8FC9-8F843F170F40}">
  <cacheSource type="worksheet">
    <worksheetSource ref="A1:K240" sheet="Sheet4"/>
  </cacheSource>
  <cacheFields count="11">
    <cacheField name="Order ID" numFmtId="0">
      <sharedItems/>
    </cacheField>
    <cacheField name="Year" numFmtId="0">
      <sharedItems containsSemiMixedTypes="0" containsString="0" containsNumber="1" containsInteger="1" minValue="2014" maxValue="2017" count="4">
        <n v="2014"/>
        <n v="2015"/>
        <n v="2016"/>
        <n v="2017"/>
      </sharedItems>
    </cacheField>
    <cacheField name="Order Date" numFmtId="14">
      <sharedItems containsSemiMixedTypes="0" containsNonDate="0" containsDate="1" containsString="0" minDate="2014-01-03T00:00:00" maxDate="2017-12-26T00:00:00"/>
    </cacheField>
    <cacheField name="Ship Date" numFmtId="14">
      <sharedItems containsSemiMixedTypes="0" containsNonDate="0" containsDate="1" containsString="0" minDate="2014-03-06T00:00:00" maxDate="2017-12-31T00:00:00"/>
    </cacheField>
    <cacheField name="Customer ID" numFmtId="0">
      <sharedItems/>
    </cacheField>
    <cacheField name="Customer Name" numFmtId="0">
      <sharedItems/>
    </cacheField>
    <cacheField name="City" numFmtId="0">
      <sharedItems/>
    </cacheField>
    <cacheField name="State" numFmtId="0">
      <sharedItems/>
    </cacheField>
    <cacheField name="Region" numFmtId="0">
      <sharedItems count="4">
        <s v="West"/>
        <s v="Central"/>
        <s v="East"/>
        <s v="South"/>
      </sharedItems>
    </cacheField>
    <cacheField name="Sub-Category" numFmtId="0">
      <sharedItems count="16">
        <s v="Chairs"/>
        <s v="Tables"/>
        <s v="Appliances"/>
        <s v="Paper"/>
        <s v="Art"/>
        <s v="Phones"/>
        <s v="Storage"/>
        <s v="Accessories"/>
        <s v="Machines"/>
        <s v="Furnishings"/>
        <s v="Binders"/>
        <s v="Labels"/>
        <s v="Bookcases"/>
        <s v="Envelopes"/>
        <s v="Fasteners"/>
        <s v="Supplies"/>
      </sharedItems>
    </cacheField>
    <cacheField name="Sales" numFmtId="0">
      <sharedItems containsSemiMixedTypes="0" containsString="0" containsNumber="1" minValue="1.248" maxValue="8159.9520000000002"/>
    </cacheField>
  </cacheFields>
  <extLst>
    <ext xmlns:x14="http://schemas.microsoft.com/office/spreadsheetml/2009/9/main" uri="{725AE2AE-9491-48be-B2B4-4EB974FC3084}">
      <x14:pivotCacheDefinition pivotCacheId="2996754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x v="0"/>
    <x v="0"/>
    <x v="0"/>
    <x v="0"/>
    <x v="0"/>
    <x v="0"/>
    <x v="0"/>
    <x v="0"/>
    <x v="0"/>
    <x v="0"/>
    <x v="0"/>
  </r>
  <r>
    <x v="1"/>
    <x v="0"/>
    <x v="1"/>
    <x v="1"/>
    <x v="1"/>
    <x v="1"/>
    <x v="1"/>
    <x v="1"/>
    <x v="0"/>
    <x v="1"/>
    <x v="1"/>
  </r>
  <r>
    <x v="1"/>
    <x v="0"/>
    <x v="1"/>
    <x v="1"/>
    <x v="1"/>
    <x v="1"/>
    <x v="1"/>
    <x v="1"/>
    <x v="0"/>
    <x v="2"/>
    <x v="2"/>
  </r>
  <r>
    <x v="2"/>
    <x v="0"/>
    <x v="2"/>
    <x v="2"/>
    <x v="2"/>
    <x v="2"/>
    <x v="2"/>
    <x v="2"/>
    <x v="0"/>
    <x v="3"/>
    <x v="3"/>
  </r>
  <r>
    <x v="2"/>
    <x v="0"/>
    <x v="2"/>
    <x v="2"/>
    <x v="2"/>
    <x v="2"/>
    <x v="2"/>
    <x v="2"/>
    <x v="0"/>
    <x v="3"/>
    <x v="4"/>
  </r>
  <r>
    <x v="2"/>
    <x v="0"/>
    <x v="3"/>
    <x v="2"/>
    <x v="2"/>
    <x v="2"/>
    <x v="2"/>
    <x v="2"/>
    <x v="0"/>
    <x v="0"/>
    <x v="5"/>
  </r>
  <r>
    <x v="3"/>
    <x v="0"/>
    <x v="3"/>
    <x v="3"/>
    <x v="3"/>
    <x v="3"/>
    <x v="3"/>
    <x v="3"/>
    <x v="0"/>
    <x v="4"/>
    <x v="6"/>
  </r>
  <r>
    <x v="3"/>
    <x v="0"/>
    <x v="3"/>
    <x v="3"/>
    <x v="3"/>
    <x v="3"/>
    <x v="3"/>
    <x v="3"/>
    <x v="0"/>
    <x v="5"/>
    <x v="7"/>
  </r>
  <r>
    <x v="4"/>
    <x v="0"/>
    <x v="4"/>
    <x v="4"/>
    <x v="4"/>
    <x v="4"/>
    <x v="4"/>
    <x v="4"/>
    <x v="1"/>
    <x v="6"/>
    <x v="8"/>
  </r>
  <r>
    <x v="4"/>
    <x v="0"/>
    <x v="4"/>
    <x v="4"/>
    <x v="4"/>
    <x v="4"/>
    <x v="4"/>
    <x v="4"/>
    <x v="1"/>
    <x v="7"/>
    <x v="9"/>
  </r>
  <r>
    <x v="5"/>
    <x v="0"/>
    <x v="4"/>
    <x v="5"/>
    <x v="5"/>
    <x v="5"/>
    <x v="5"/>
    <x v="5"/>
    <x v="1"/>
    <x v="4"/>
    <x v="10"/>
  </r>
  <r>
    <x v="5"/>
    <x v="0"/>
    <x v="4"/>
    <x v="5"/>
    <x v="5"/>
    <x v="5"/>
    <x v="5"/>
    <x v="5"/>
    <x v="1"/>
    <x v="8"/>
    <x v="11"/>
  </r>
  <r>
    <x v="5"/>
    <x v="0"/>
    <x v="5"/>
    <x v="5"/>
    <x v="5"/>
    <x v="5"/>
    <x v="5"/>
    <x v="5"/>
    <x v="1"/>
    <x v="6"/>
    <x v="12"/>
  </r>
  <r>
    <x v="5"/>
    <x v="0"/>
    <x v="6"/>
    <x v="5"/>
    <x v="5"/>
    <x v="5"/>
    <x v="5"/>
    <x v="5"/>
    <x v="1"/>
    <x v="0"/>
    <x v="13"/>
  </r>
  <r>
    <x v="5"/>
    <x v="0"/>
    <x v="6"/>
    <x v="5"/>
    <x v="5"/>
    <x v="5"/>
    <x v="5"/>
    <x v="5"/>
    <x v="1"/>
    <x v="4"/>
    <x v="14"/>
  </r>
  <r>
    <x v="5"/>
    <x v="0"/>
    <x v="6"/>
    <x v="5"/>
    <x v="5"/>
    <x v="5"/>
    <x v="5"/>
    <x v="5"/>
    <x v="1"/>
    <x v="2"/>
    <x v="15"/>
  </r>
  <r>
    <x v="5"/>
    <x v="0"/>
    <x v="6"/>
    <x v="5"/>
    <x v="5"/>
    <x v="5"/>
    <x v="5"/>
    <x v="5"/>
    <x v="1"/>
    <x v="5"/>
    <x v="16"/>
  </r>
  <r>
    <x v="6"/>
    <x v="0"/>
    <x v="6"/>
    <x v="6"/>
    <x v="6"/>
    <x v="6"/>
    <x v="2"/>
    <x v="2"/>
    <x v="0"/>
    <x v="9"/>
    <x v="17"/>
  </r>
  <r>
    <x v="6"/>
    <x v="0"/>
    <x v="6"/>
    <x v="6"/>
    <x v="6"/>
    <x v="6"/>
    <x v="2"/>
    <x v="2"/>
    <x v="0"/>
    <x v="4"/>
    <x v="18"/>
  </r>
  <r>
    <x v="6"/>
    <x v="0"/>
    <x v="6"/>
    <x v="6"/>
    <x v="6"/>
    <x v="6"/>
    <x v="2"/>
    <x v="2"/>
    <x v="0"/>
    <x v="5"/>
    <x v="19"/>
  </r>
  <r>
    <x v="6"/>
    <x v="0"/>
    <x v="7"/>
    <x v="6"/>
    <x v="6"/>
    <x v="6"/>
    <x v="2"/>
    <x v="2"/>
    <x v="0"/>
    <x v="10"/>
    <x v="20"/>
  </r>
  <r>
    <x v="6"/>
    <x v="0"/>
    <x v="7"/>
    <x v="6"/>
    <x v="6"/>
    <x v="6"/>
    <x v="2"/>
    <x v="2"/>
    <x v="0"/>
    <x v="2"/>
    <x v="21"/>
  </r>
  <r>
    <x v="6"/>
    <x v="0"/>
    <x v="7"/>
    <x v="6"/>
    <x v="6"/>
    <x v="6"/>
    <x v="2"/>
    <x v="2"/>
    <x v="0"/>
    <x v="1"/>
    <x v="22"/>
  </r>
  <r>
    <x v="6"/>
    <x v="0"/>
    <x v="7"/>
    <x v="6"/>
    <x v="6"/>
    <x v="6"/>
    <x v="2"/>
    <x v="2"/>
    <x v="0"/>
    <x v="5"/>
    <x v="23"/>
  </r>
  <r>
    <x v="7"/>
    <x v="0"/>
    <x v="8"/>
    <x v="7"/>
    <x v="7"/>
    <x v="7"/>
    <x v="6"/>
    <x v="6"/>
    <x v="1"/>
    <x v="6"/>
    <x v="24"/>
  </r>
  <r>
    <x v="8"/>
    <x v="0"/>
    <x v="9"/>
    <x v="8"/>
    <x v="8"/>
    <x v="8"/>
    <x v="7"/>
    <x v="2"/>
    <x v="0"/>
    <x v="4"/>
    <x v="25"/>
  </r>
  <r>
    <x v="8"/>
    <x v="0"/>
    <x v="9"/>
    <x v="8"/>
    <x v="8"/>
    <x v="8"/>
    <x v="7"/>
    <x v="2"/>
    <x v="0"/>
    <x v="6"/>
    <x v="26"/>
  </r>
  <r>
    <x v="9"/>
    <x v="0"/>
    <x v="9"/>
    <x v="9"/>
    <x v="9"/>
    <x v="9"/>
    <x v="8"/>
    <x v="7"/>
    <x v="2"/>
    <x v="11"/>
    <x v="27"/>
  </r>
  <r>
    <x v="9"/>
    <x v="0"/>
    <x v="10"/>
    <x v="9"/>
    <x v="9"/>
    <x v="9"/>
    <x v="8"/>
    <x v="7"/>
    <x v="2"/>
    <x v="12"/>
    <x v="28"/>
  </r>
  <r>
    <x v="9"/>
    <x v="0"/>
    <x v="10"/>
    <x v="9"/>
    <x v="9"/>
    <x v="9"/>
    <x v="8"/>
    <x v="7"/>
    <x v="2"/>
    <x v="5"/>
    <x v="29"/>
  </r>
  <r>
    <x v="9"/>
    <x v="0"/>
    <x v="10"/>
    <x v="9"/>
    <x v="9"/>
    <x v="9"/>
    <x v="8"/>
    <x v="7"/>
    <x v="2"/>
    <x v="8"/>
    <x v="30"/>
  </r>
  <r>
    <x v="9"/>
    <x v="0"/>
    <x v="10"/>
    <x v="9"/>
    <x v="9"/>
    <x v="9"/>
    <x v="8"/>
    <x v="7"/>
    <x v="2"/>
    <x v="7"/>
    <x v="31"/>
  </r>
  <r>
    <x v="10"/>
    <x v="0"/>
    <x v="10"/>
    <x v="10"/>
    <x v="10"/>
    <x v="10"/>
    <x v="0"/>
    <x v="0"/>
    <x v="0"/>
    <x v="1"/>
    <x v="32"/>
  </r>
  <r>
    <x v="11"/>
    <x v="0"/>
    <x v="10"/>
    <x v="11"/>
    <x v="11"/>
    <x v="11"/>
    <x v="9"/>
    <x v="8"/>
    <x v="3"/>
    <x v="13"/>
    <x v="33"/>
  </r>
  <r>
    <x v="12"/>
    <x v="0"/>
    <x v="10"/>
    <x v="12"/>
    <x v="12"/>
    <x v="12"/>
    <x v="10"/>
    <x v="9"/>
    <x v="3"/>
    <x v="10"/>
    <x v="34"/>
  </r>
  <r>
    <x v="13"/>
    <x v="0"/>
    <x v="11"/>
    <x v="13"/>
    <x v="13"/>
    <x v="13"/>
    <x v="11"/>
    <x v="2"/>
    <x v="0"/>
    <x v="6"/>
    <x v="35"/>
  </r>
  <r>
    <x v="14"/>
    <x v="0"/>
    <x v="12"/>
    <x v="14"/>
    <x v="14"/>
    <x v="14"/>
    <x v="12"/>
    <x v="5"/>
    <x v="1"/>
    <x v="7"/>
    <x v="36"/>
  </r>
  <r>
    <x v="15"/>
    <x v="0"/>
    <x v="12"/>
    <x v="15"/>
    <x v="15"/>
    <x v="15"/>
    <x v="13"/>
    <x v="10"/>
    <x v="1"/>
    <x v="4"/>
    <x v="37"/>
  </r>
  <r>
    <x v="15"/>
    <x v="0"/>
    <x v="13"/>
    <x v="15"/>
    <x v="15"/>
    <x v="15"/>
    <x v="13"/>
    <x v="10"/>
    <x v="1"/>
    <x v="1"/>
    <x v="38"/>
  </r>
  <r>
    <x v="15"/>
    <x v="0"/>
    <x v="14"/>
    <x v="15"/>
    <x v="15"/>
    <x v="15"/>
    <x v="13"/>
    <x v="10"/>
    <x v="1"/>
    <x v="6"/>
    <x v="39"/>
  </r>
  <r>
    <x v="16"/>
    <x v="0"/>
    <x v="15"/>
    <x v="16"/>
    <x v="16"/>
    <x v="16"/>
    <x v="14"/>
    <x v="11"/>
    <x v="3"/>
    <x v="1"/>
    <x v="40"/>
  </r>
  <r>
    <x v="16"/>
    <x v="0"/>
    <x v="16"/>
    <x v="16"/>
    <x v="16"/>
    <x v="16"/>
    <x v="14"/>
    <x v="11"/>
    <x v="3"/>
    <x v="6"/>
    <x v="41"/>
  </r>
  <r>
    <x v="17"/>
    <x v="0"/>
    <x v="17"/>
    <x v="17"/>
    <x v="17"/>
    <x v="17"/>
    <x v="15"/>
    <x v="12"/>
    <x v="2"/>
    <x v="12"/>
    <x v="42"/>
  </r>
  <r>
    <x v="17"/>
    <x v="0"/>
    <x v="17"/>
    <x v="17"/>
    <x v="17"/>
    <x v="17"/>
    <x v="15"/>
    <x v="12"/>
    <x v="2"/>
    <x v="5"/>
    <x v="43"/>
  </r>
  <r>
    <x v="17"/>
    <x v="0"/>
    <x v="17"/>
    <x v="17"/>
    <x v="17"/>
    <x v="17"/>
    <x v="15"/>
    <x v="12"/>
    <x v="2"/>
    <x v="3"/>
    <x v="44"/>
  </r>
  <r>
    <x v="17"/>
    <x v="0"/>
    <x v="18"/>
    <x v="17"/>
    <x v="17"/>
    <x v="17"/>
    <x v="15"/>
    <x v="12"/>
    <x v="2"/>
    <x v="12"/>
    <x v="45"/>
  </r>
  <r>
    <x v="17"/>
    <x v="0"/>
    <x v="19"/>
    <x v="17"/>
    <x v="17"/>
    <x v="17"/>
    <x v="15"/>
    <x v="12"/>
    <x v="2"/>
    <x v="4"/>
    <x v="46"/>
  </r>
  <r>
    <x v="18"/>
    <x v="0"/>
    <x v="19"/>
    <x v="18"/>
    <x v="18"/>
    <x v="18"/>
    <x v="16"/>
    <x v="13"/>
    <x v="1"/>
    <x v="3"/>
    <x v="47"/>
  </r>
  <r>
    <x v="19"/>
    <x v="0"/>
    <x v="20"/>
    <x v="19"/>
    <x v="19"/>
    <x v="19"/>
    <x v="17"/>
    <x v="14"/>
    <x v="1"/>
    <x v="4"/>
    <x v="48"/>
  </r>
  <r>
    <x v="19"/>
    <x v="1"/>
    <x v="21"/>
    <x v="19"/>
    <x v="19"/>
    <x v="19"/>
    <x v="17"/>
    <x v="14"/>
    <x v="1"/>
    <x v="10"/>
    <x v="49"/>
  </r>
  <r>
    <x v="20"/>
    <x v="1"/>
    <x v="21"/>
    <x v="20"/>
    <x v="20"/>
    <x v="20"/>
    <x v="18"/>
    <x v="15"/>
    <x v="3"/>
    <x v="3"/>
    <x v="50"/>
  </r>
  <r>
    <x v="21"/>
    <x v="1"/>
    <x v="21"/>
    <x v="21"/>
    <x v="21"/>
    <x v="21"/>
    <x v="19"/>
    <x v="4"/>
    <x v="1"/>
    <x v="3"/>
    <x v="51"/>
  </r>
  <r>
    <x v="21"/>
    <x v="1"/>
    <x v="22"/>
    <x v="21"/>
    <x v="21"/>
    <x v="21"/>
    <x v="19"/>
    <x v="4"/>
    <x v="1"/>
    <x v="9"/>
    <x v="52"/>
  </r>
  <r>
    <x v="22"/>
    <x v="1"/>
    <x v="22"/>
    <x v="22"/>
    <x v="22"/>
    <x v="22"/>
    <x v="20"/>
    <x v="5"/>
    <x v="1"/>
    <x v="6"/>
    <x v="53"/>
  </r>
  <r>
    <x v="23"/>
    <x v="1"/>
    <x v="22"/>
    <x v="23"/>
    <x v="23"/>
    <x v="23"/>
    <x v="21"/>
    <x v="16"/>
    <x v="2"/>
    <x v="9"/>
    <x v="54"/>
  </r>
  <r>
    <x v="24"/>
    <x v="1"/>
    <x v="22"/>
    <x v="24"/>
    <x v="24"/>
    <x v="24"/>
    <x v="0"/>
    <x v="0"/>
    <x v="0"/>
    <x v="10"/>
    <x v="55"/>
  </r>
  <r>
    <x v="25"/>
    <x v="1"/>
    <x v="22"/>
    <x v="25"/>
    <x v="25"/>
    <x v="25"/>
    <x v="22"/>
    <x v="6"/>
    <x v="1"/>
    <x v="5"/>
    <x v="56"/>
  </r>
  <r>
    <x v="25"/>
    <x v="1"/>
    <x v="23"/>
    <x v="25"/>
    <x v="25"/>
    <x v="25"/>
    <x v="22"/>
    <x v="6"/>
    <x v="1"/>
    <x v="5"/>
    <x v="57"/>
  </r>
  <r>
    <x v="25"/>
    <x v="1"/>
    <x v="24"/>
    <x v="25"/>
    <x v="25"/>
    <x v="25"/>
    <x v="22"/>
    <x v="6"/>
    <x v="1"/>
    <x v="0"/>
    <x v="58"/>
  </r>
  <r>
    <x v="25"/>
    <x v="1"/>
    <x v="24"/>
    <x v="25"/>
    <x v="25"/>
    <x v="25"/>
    <x v="22"/>
    <x v="6"/>
    <x v="1"/>
    <x v="10"/>
    <x v="59"/>
  </r>
  <r>
    <x v="26"/>
    <x v="1"/>
    <x v="25"/>
    <x v="26"/>
    <x v="26"/>
    <x v="26"/>
    <x v="23"/>
    <x v="13"/>
    <x v="1"/>
    <x v="2"/>
    <x v="60"/>
  </r>
  <r>
    <x v="27"/>
    <x v="1"/>
    <x v="26"/>
    <x v="19"/>
    <x v="27"/>
    <x v="27"/>
    <x v="2"/>
    <x v="2"/>
    <x v="0"/>
    <x v="0"/>
    <x v="61"/>
  </r>
  <r>
    <x v="27"/>
    <x v="1"/>
    <x v="26"/>
    <x v="19"/>
    <x v="27"/>
    <x v="27"/>
    <x v="2"/>
    <x v="2"/>
    <x v="0"/>
    <x v="9"/>
    <x v="62"/>
  </r>
  <r>
    <x v="28"/>
    <x v="1"/>
    <x v="26"/>
    <x v="27"/>
    <x v="28"/>
    <x v="28"/>
    <x v="0"/>
    <x v="0"/>
    <x v="0"/>
    <x v="10"/>
    <x v="63"/>
  </r>
  <r>
    <x v="29"/>
    <x v="1"/>
    <x v="26"/>
    <x v="27"/>
    <x v="29"/>
    <x v="29"/>
    <x v="24"/>
    <x v="17"/>
    <x v="3"/>
    <x v="12"/>
    <x v="64"/>
  </r>
  <r>
    <x v="29"/>
    <x v="1"/>
    <x v="27"/>
    <x v="27"/>
    <x v="29"/>
    <x v="29"/>
    <x v="24"/>
    <x v="17"/>
    <x v="3"/>
    <x v="0"/>
    <x v="65"/>
  </r>
  <r>
    <x v="30"/>
    <x v="1"/>
    <x v="27"/>
    <x v="24"/>
    <x v="30"/>
    <x v="30"/>
    <x v="25"/>
    <x v="5"/>
    <x v="1"/>
    <x v="5"/>
    <x v="66"/>
  </r>
  <r>
    <x v="30"/>
    <x v="1"/>
    <x v="27"/>
    <x v="24"/>
    <x v="30"/>
    <x v="30"/>
    <x v="25"/>
    <x v="5"/>
    <x v="1"/>
    <x v="9"/>
    <x v="67"/>
  </r>
  <r>
    <x v="31"/>
    <x v="1"/>
    <x v="28"/>
    <x v="28"/>
    <x v="31"/>
    <x v="31"/>
    <x v="26"/>
    <x v="18"/>
    <x v="1"/>
    <x v="4"/>
    <x v="68"/>
  </r>
  <r>
    <x v="31"/>
    <x v="1"/>
    <x v="29"/>
    <x v="28"/>
    <x v="31"/>
    <x v="31"/>
    <x v="26"/>
    <x v="18"/>
    <x v="1"/>
    <x v="2"/>
    <x v="69"/>
  </r>
  <r>
    <x v="32"/>
    <x v="1"/>
    <x v="30"/>
    <x v="29"/>
    <x v="32"/>
    <x v="32"/>
    <x v="27"/>
    <x v="13"/>
    <x v="1"/>
    <x v="7"/>
    <x v="70"/>
  </r>
  <r>
    <x v="32"/>
    <x v="1"/>
    <x v="31"/>
    <x v="29"/>
    <x v="32"/>
    <x v="32"/>
    <x v="27"/>
    <x v="13"/>
    <x v="1"/>
    <x v="10"/>
    <x v="71"/>
  </r>
  <r>
    <x v="33"/>
    <x v="1"/>
    <x v="31"/>
    <x v="30"/>
    <x v="33"/>
    <x v="33"/>
    <x v="2"/>
    <x v="2"/>
    <x v="0"/>
    <x v="3"/>
    <x v="72"/>
  </r>
  <r>
    <x v="34"/>
    <x v="1"/>
    <x v="31"/>
    <x v="31"/>
    <x v="34"/>
    <x v="34"/>
    <x v="15"/>
    <x v="12"/>
    <x v="2"/>
    <x v="14"/>
    <x v="73"/>
  </r>
  <r>
    <x v="34"/>
    <x v="1"/>
    <x v="32"/>
    <x v="31"/>
    <x v="34"/>
    <x v="34"/>
    <x v="15"/>
    <x v="12"/>
    <x v="2"/>
    <x v="5"/>
    <x v="74"/>
  </r>
  <r>
    <x v="35"/>
    <x v="1"/>
    <x v="33"/>
    <x v="32"/>
    <x v="35"/>
    <x v="35"/>
    <x v="2"/>
    <x v="2"/>
    <x v="0"/>
    <x v="11"/>
    <x v="75"/>
  </r>
  <r>
    <x v="36"/>
    <x v="1"/>
    <x v="34"/>
    <x v="33"/>
    <x v="36"/>
    <x v="36"/>
    <x v="4"/>
    <x v="19"/>
    <x v="3"/>
    <x v="2"/>
    <x v="76"/>
  </r>
  <r>
    <x v="36"/>
    <x v="1"/>
    <x v="34"/>
    <x v="33"/>
    <x v="36"/>
    <x v="36"/>
    <x v="4"/>
    <x v="19"/>
    <x v="3"/>
    <x v="10"/>
    <x v="77"/>
  </r>
  <r>
    <x v="37"/>
    <x v="1"/>
    <x v="34"/>
    <x v="33"/>
    <x v="37"/>
    <x v="37"/>
    <x v="28"/>
    <x v="20"/>
    <x v="2"/>
    <x v="9"/>
    <x v="78"/>
  </r>
  <r>
    <x v="37"/>
    <x v="1"/>
    <x v="35"/>
    <x v="33"/>
    <x v="37"/>
    <x v="37"/>
    <x v="28"/>
    <x v="20"/>
    <x v="2"/>
    <x v="10"/>
    <x v="79"/>
  </r>
  <r>
    <x v="37"/>
    <x v="1"/>
    <x v="35"/>
    <x v="33"/>
    <x v="37"/>
    <x v="37"/>
    <x v="28"/>
    <x v="20"/>
    <x v="2"/>
    <x v="6"/>
    <x v="80"/>
  </r>
  <r>
    <x v="37"/>
    <x v="1"/>
    <x v="35"/>
    <x v="33"/>
    <x v="37"/>
    <x v="37"/>
    <x v="28"/>
    <x v="20"/>
    <x v="2"/>
    <x v="13"/>
    <x v="81"/>
  </r>
  <r>
    <x v="37"/>
    <x v="1"/>
    <x v="35"/>
    <x v="33"/>
    <x v="37"/>
    <x v="37"/>
    <x v="28"/>
    <x v="20"/>
    <x v="2"/>
    <x v="5"/>
    <x v="82"/>
  </r>
  <r>
    <x v="38"/>
    <x v="1"/>
    <x v="35"/>
    <x v="34"/>
    <x v="38"/>
    <x v="38"/>
    <x v="29"/>
    <x v="10"/>
    <x v="1"/>
    <x v="6"/>
    <x v="83"/>
  </r>
  <r>
    <x v="38"/>
    <x v="1"/>
    <x v="35"/>
    <x v="34"/>
    <x v="38"/>
    <x v="38"/>
    <x v="29"/>
    <x v="10"/>
    <x v="1"/>
    <x v="5"/>
    <x v="84"/>
  </r>
  <r>
    <x v="38"/>
    <x v="1"/>
    <x v="35"/>
    <x v="34"/>
    <x v="38"/>
    <x v="38"/>
    <x v="29"/>
    <x v="10"/>
    <x v="1"/>
    <x v="10"/>
    <x v="85"/>
  </r>
  <r>
    <x v="38"/>
    <x v="1"/>
    <x v="36"/>
    <x v="34"/>
    <x v="38"/>
    <x v="38"/>
    <x v="29"/>
    <x v="10"/>
    <x v="1"/>
    <x v="14"/>
    <x v="86"/>
  </r>
  <r>
    <x v="38"/>
    <x v="1"/>
    <x v="37"/>
    <x v="34"/>
    <x v="38"/>
    <x v="38"/>
    <x v="29"/>
    <x v="10"/>
    <x v="1"/>
    <x v="6"/>
    <x v="87"/>
  </r>
  <r>
    <x v="39"/>
    <x v="1"/>
    <x v="38"/>
    <x v="35"/>
    <x v="39"/>
    <x v="39"/>
    <x v="30"/>
    <x v="7"/>
    <x v="2"/>
    <x v="5"/>
    <x v="88"/>
  </r>
  <r>
    <x v="39"/>
    <x v="1"/>
    <x v="39"/>
    <x v="35"/>
    <x v="39"/>
    <x v="39"/>
    <x v="30"/>
    <x v="7"/>
    <x v="2"/>
    <x v="3"/>
    <x v="89"/>
  </r>
  <r>
    <x v="39"/>
    <x v="1"/>
    <x v="39"/>
    <x v="35"/>
    <x v="39"/>
    <x v="39"/>
    <x v="30"/>
    <x v="7"/>
    <x v="2"/>
    <x v="14"/>
    <x v="90"/>
  </r>
  <r>
    <x v="40"/>
    <x v="1"/>
    <x v="40"/>
    <x v="36"/>
    <x v="40"/>
    <x v="40"/>
    <x v="22"/>
    <x v="9"/>
    <x v="3"/>
    <x v="9"/>
    <x v="91"/>
  </r>
  <r>
    <x v="41"/>
    <x v="1"/>
    <x v="40"/>
    <x v="37"/>
    <x v="41"/>
    <x v="41"/>
    <x v="31"/>
    <x v="3"/>
    <x v="0"/>
    <x v="10"/>
    <x v="92"/>
  </r>
  <r>
    <x v="41"/>
    <x v="1"/>
    <x v="40"/>
    <x v="37"/>
    <x v="41"/>
    <x v="41"/>
    <x v="31"/>
    <x v="3"/>
    <x v="0"/>
    <x v="6"/>
    <x v="93"/>
  </r>
  <r>
    <x v="42"/>
    <x v="1"/>
    <x v="41"/>
    <x v="38"/>
    <x v="42"/>
    <x v="42"/>
    <x v="21"/>
    <x v="16"/>
    <x v="2"/>
    <x v="10"/>
    <x v="94"/>
  </r>
  <r>
    <x v="42"/>
    <x v="1"/>
    <x v="41"/>
    <x v="38"/>
    <x v="42"/>
    <x v="42"/>
    <x v="21"/>
    <x v="16"/>
    <x v="2"/>
    <x v="3"/>
    <x v="95"/>
  </r>
  <r>
    <x v="43"/>
    <x v="1"/>
    <x v="42"/>
    <x v="37"/>
    <x v="43"/>
    <x v="43"/>
    <x v="32"/>
    <x v="21"/>
    <x v="0"/>
    <x v="10"/>
    <x v="96"/>
  </r>
  <r>
    <x v="44"/>
    <x v="1"/>
    <x v="42"/>
    <x v="39"/>
    <x v="44"/>
    <x v="44"/>
    <x v="33"/>
    <x v="22"/>
    <x v="2"/>
    <x v="6"/>
    <x v="97"/>
  </r>
  <r>
    <x v="45"/>
    <x v="1"/>
    <x v="43"/>
    <x v="40"/>
    <x v="45"/>
    <x v="45"/>
    <x v="34"/>
    <x v="11"/>
    <x v="3"/>
    <x v="1"/>
    <x v="98"/>
  </r>
  <r>
    <x v="45"/>
    <x v="1"/>
    <x v="43"/>
    <x v="40"/>
    <x v="45"/>
    <x v="45"/>
    <x v="34"/>
    <x v="11"/>
    <x v="3"/>
    <x v="1"/>
    <x v="99"/>
  </r>
  <r>
    <x v="45"/>
    <x v="1"/>
    <x v="43"/>
    <x v="40"/>
    <x v="45"/>
    <x v="45"/>
    <x v="34"/>
    <x v="11"/>
    <x v="3"/>
    <x v="10"/>
    <x v="100"/>
  </r>
  <r>
    <x v="45"/>
    <x v="1"/>
    <x v="43"/>
    <x v="40"/>
    <x v="45"/>
    <x v="45"/>
    <x v="34"/>
    <x v="11"/>
    <x v="3"/>
    <x v="9"/>
    <x v="101"/>
  </r>
  <r>
    <x v="45"/>
    <x v="1"/>
    <x v="44"/>
    <x v="40"/>
    <x v="45"/>
    <x v="45"/>
    <x v="34"/>
    <x v="11"/>
    <x v="3"/>
    <x v="7"/>
    <x v="102"/>
  </r>
  <r>
    <x v="46"/>
    <x v="1"/>
    <x v="44"/>
    <x v="41"/>
    <x v="46"/>
    <x v="46"/>
    <x v="15"/>
    <x v="12"/>
    <x v="2"/>
    <x v="9"/>
    <x v="103"/>
  </r>
  <r>
    <x v="47"/>
    <x v="1"/>
    <x v="44"/>
    <x v="42"/>
    <x v="47"/>
    <x v="47"/>
    <x v="20"/>
    <x v="5"/>
    <x v="1"/>
    <x v="10"/>
    <x v="104"/>
  </r>
  <r>
    <x v="47"/>
    <x v="1"/>
    <x v="44"/>
    <x v="42"/>
    <x v="47"/>
    <x v="47"/>
    <x v="20"/>
    <x v="5"/>
    <x v="1"/>
    <x v="9"/>
    <x v="105"/>
  </r>
  <r>
    <x v="47"/>
    <x v="1"/>
    <x v="44"/>
    <x v="42"/>
    <x v="47"/>
    <x v="47"/>
    <x v="20"/>
    <x v="5"/>
    <x v="1"/>
    <x v="6"/>
    <x v="49"/>
  </r>
  <r>
    <x v="48"/>
    <x v="1"/>
    <x v="45"/>
    <x v="43"/>
    <x v="48"/>
    <x v="48"/>
    <x v="35"/>
    <x v="2"/>
    <x v="0"/>
    <x v="5"/>
    <x v="106"/>
  </r>
  <r>
    <x v="49"/>
    <x v="1"/>
    <x v="46"/>
    <x v="44"/>
    <x v="49"/>
    <x v="49"/>
    <x v="36"/>
    <x v="4"/>
    <x v="1"/>
    <x v="5"/>
    <x v="107"/>
  </r>
  <r>
    <x v="50"/>
    <x v="1"/>
    <x v="46"/>
    <x v="45"/>
    <x v="50"/>
    <x v="50"/>
    <x v="37"/>
    <x v="2"/>
    <x v="0"/>
    <x v="3"/>
    <x v="108"/>
  </r>
  <r>
    <x v="51"/>
    <x v="1"/>
    <x v="46"/>
    <x v="46"/>
    <x v="51"/>
    <x v="51"/>
    <x v="2"/>
    <x v="2"/>
    <x v="0"/>
    <x v="10"/>
    <x v="109"/>
  </r>
  <r>
    <x v="51"/>
    <x v="1"/>
    <x v="46"/>
    <x v="46"/>
    <x v="51"/>
    <x v="51"/>
    <x v="2"/>
    <x v="2"/>
    <x v="0"/>
    <x v="7"/>
    <x v="110"/>
  </r>
  <r>
    <x v="52"/>
    <x v="1"/>
    <x v="46"/>
    <x v="47"/>
    <x v="52"/>
    <x v="52"/>
    <x v="38"/>
    <x v="13"/>
    <x v="1"/>
    <x v="3"/>
    <x v="111"/>
  </r>
  <r>
    <x v="52"/>
    <x v="1"/>
    <x v="46"/>
    <x v="47"/>
    <x v="52"/>
    <x v="52"/>
    <x v="38"/>
    <x v="13"/>
    <x v="1"/>
    <x v="9"/>
    <x v="112"/>
  </r>
  <r>
    <x v="52"/>
    <x v="1"/>
    <x v="47"/>
    <x v="47"/>
    <x v="52"/>
    <x v="52"/>
    <x v="38"/>
    <x v="13"/>
    <x v="1"/>
    <x v="10"/>
    <x v="113"/>
  </r>
  <r>
    <x v="53"/>
    <x v="1"/>
    <x v="47"/>
    <x v="48"/>
    <x v="53"/>
    <x v="53"/>
    <x v="39"/>
    <x v="2"/>
    <x v="0"/>
    <x v="3"/>
    <x v="114"/>
  </r>
  <r>
    <x v="53"/>
    <x v="1"/>
    <x v="47"/>
    <x v="48"/>
    <x v="53"/>
    <x v="53"/>
    <x v="39"/>
    <x v="2"/>
    <x v="0"/>
    <x v="3"/>
    <x v="115"/>
  </r>
  <r>
    <x v="53"/>
    <x v="1"/>
    <x v="47"/>
    <x v="48"/>
    <x v="53"/>
    <x v="53"/>
    <x v="39"/>
    <x v="2"/>
    <x v="0"/>
    <x v="4"/>
    <x v="116"/>
  </r>
  <r>
    <x v="53"/>
    <x v="1"/>
    <x v="48"/>
    <x v="48"/>
    <x v="53"/>
    <x v="53"/>
    <x v="39"/>
    <x v="2"/>
    <x v="0"/>
    <x v="14"/>
    <x v="117"/>
  </r>
  <r>
    <x v="53"/>
    <x v="2"/>
    <x v="49"/>
    <x v="48"/>
    <x v="53"/>
    <x v="53"/>
    <x v="39"/>
    <x v="2"/>
    <x v="0"/>
    <x v="10"/>
    <x v="118"/>
  </r>
  <r>
    <x v="53"/>
    <x v="2"/>
    <x v="50"/>
    <x v="48"/>
    <x v="53"/>
    <x v="53"/>
    <x v="39"/>
    <x v="2"/>
    <x v="0"/>
    <x v="15"/>
    <x v="119"/>
  </r>
  <r>
    <x v="53"/>
    <x v="2"/>
    <x v="50"/>
    <x v="48"/>
    <x v="53"/>
    <x v="53"/>
    <x v="39"/>
    <x v="2"/>
    <x v="0"/>
    <x v="9"/>
    <x v="120"/>
  </r>
  <r>
    <x v="54"/>
    <x v="2"/>
    <x v="51"/>
    <x v="49"/>
    <x v="54"/>
    <x v="54"/>
    <x v="40"/>
    <x v="4"/>
    <x v="1"/>
    <x v="7"/>
    <x v="121"/>
  </r>
  <r>
    <x v="55"/>
    <x v="2"/>
    <x v="51"/>
    <x v="50"/>
    <x v="55"/>
    <x v="55"/>
    <x v="20"/>
    <x v="5"/>
    <x v="1"/>
    <x v="3"/>
    <x v="122"/>
  </r>
  <r>
    <x v="56"/>
    <x v="2"/>
    <x v="52"/>
    <x v="51"/>
    <x v="56"/>
    <x v="56"/>
    <x v="41"/>
    <x v="10"/>
    <x v="1"/>
    <x v="6"/>
    <x v="123"/>
  </r>
  <r>
    <x v="57"/>
    <x v="2"/>
    <x v="52"/>
    <x v="52"/>
    <x v="57"/>
    <x v="57"/>
    <x v="42"/>
    <x v="7"/>
    <x v="2"/>
    <x v="9"/>
    <x v="124"/>
  </r>
  <r>
    <x v="58"/>
    <x v="2"/>
    <x v="53"/>
    <x v="53"/>
    <x v="58"/>
    <x v="58"/>
    <x v="16"/>
    <x v="13"/>
    <x v="1"/>
    <x v="7"/>
    <x v="125"/>
  </r>
  <r>
    <x v="58"/>
    <x v="2"/>
    <x v="53"/>
    <x v="53"/>
    <x v="58"/>
    <x v="58"/>
    <x v="16"/>
    <x v="13"/>
    <x v="1"/>
    <x v="11"/>
    <x v="126"/>
  </r>
  <r>
    <x v="59"/>
    <x v="2"/>
    <x v="53"/>
    <x v="54"/>
    <x v="59"/>
    <x v="59"/>
    <x v="2"/>
    <x v="2"/>
    <x v="0"/>
    <x v="6"/>
    <x v="127"/>
  </r>
  <r>
    <x v="59"/>
    <x v="2"/>
    <x v="54"/>
    <x v="54"/>
    <x v="59"/>
    <x v="59"/>
    <x v="2"/>
    <x v="2"/>
    <x v="0"/>
    <x v="5"/>
    <x v="128"/>
  </r>
  <r>
    <x v="60"/>
    <x v="2"/>
    <x v="55"/>
    <x v="55"/>
    <x v="60"/>
    <x v="60"/>
    <x v="43"/>
    <x v="2"/>
    <x v="0"/>
    <x v="13"/>
    <x v="129"/>
  </r>
  <r>
    <x v="61"/>
    <x v="2"/>
    <x v="56"/>
    <x v="56"/>
    <x v="61"/>
    <x v="61"/>
    <x v="44"/>
    <x v="1"/>
    <x v="0"/>
    <x v="7"/>
    <x v="130"/>
  </r>
  <r>
    <x v="61"/>
    <x v="2"/>
    <x v="56"/>
    <x v="56"/>
    <x v="61"/>
    <x v="61"/>
    <x v="44"/>
    <x v="1"/>
    <x v="0"/>
    <x v="9"/>
    <x v="131"/>
  </r>
  <r>
    <x v="61"/>
    <x v="2"/>
    <x v="56"/>
    <x v="56"/>
    <x v="61"/>
    <x v="61"/>
    <x v="44"/>
    <x v="1"/>
    <x v="0"/>
    <x v="10"/>
    <x v="132"/>
  </r>
  <r>
    <x v="62"/>
    <x v="2"/>
    <x v="56"/>
    <x v="45"/>
    <x v="45"/>
    <x v="45"/>
    <x v="19"/>
    <x v="4"/>
    <x v="1"/>
    <x v="6"/>
    <x v="133"/>
  </r>
  <r>
    <x v="63"/>
    <x v="2"/>
    <x v="56"/>
    <x v="57"/>
    <x v="62"/>
    <x v="62"/>
    <x v="45"/>
    <x v="23"/>
    <x v="0"/>
    <x v="13"/>
    <x v="134"/>
  </r>
  <r>
    <x v="64"/>
    <x v="2"/>
    <x v="57"/>
    <x v="58"/>
    <x v="63"/>
    <x v="63"/>
    <x v="46"/>
    <x v="24"/>
    <x v="3"/>
    <x v="5"/>
    <x v="135"/>
  </r>
  <r>
    <x v="64"/>
    <x v="2"/>
    <x v="58"/>
    <x v="58"/>
    <x v="63"/>
    <x v="63"/>
    <x v="46"/>
    <x v="24"/>
    <x v="3"/>
    <x v="5"/>
    <x v="136"/>
  </r>
  <r>
    <x v="64"/>
    <x v="2"/>
    <x v="58"/>
    <x v="58"/>
    <x v="63"/>
    <x v="63"/>
    <x v="46"/>
    <x v="24"/>
    <x v="3"/>
    <x v="7"/>
    <x v="137"/>
  </r>
  <r>
    <x v="65"/>
    <x v="2"/>
    <x v="59"/>
    <x v="59"/>
    <x v="64"/>
    <x v="64"/>
    <x v="47"/>
    <x v="25"/>
    <x v="1"/>
    <x v="11"/>
    <x v="75"/>
  </r>
  <r>
    <x v="65"/>
    <x v="2"/>
    <x v="59"/>
    <x v="59"/>
    <x v="64"/>
    <x v="64"/>
    <x v="47"/>
    <x v="25"/>
    <x v="1"/>
    <x v="5"/>
    <x v="138"/>
  </r>
  <r>
    <x v="66"/>
    <x v="2"/>
    <x v="59"/>
    <x v="60"/>
    <x v="65"/>
    <x v="65"/>
    <x v="42"/>
    <x v="7"/>
    <x v="2"/>
    <x v="0"/>
    <x v="139"/>
  </r>
  <r>
    <x v="66"/>
    <x v="2"/>
    <x v="59"/>
    <x v="60"/>
    <x v="65"/>
    <x v="65"/>
    <x v="42"/>
    <x v="7"/>
    <x v="2"/>
    <x v="15"/>
    <x v="140"/>
  </r>
  <r>
    <x v="67"/>
    <x v="2"/>
    <x v="59"/>
    <x v="61"/>
    <x v="66"/>
    <x v="66"/>
    <x v="48"/>
    <x v="5"/>
    <x v="1"/>
    <x v="2"/>
    <x v="141"/>
  </r>
  <r>
    <x v="67"/>
    <x v="2"/>
    <x v="59"/>
    <x v="61"/>
    <x v="66"/>
    <x v="66"/>
    <x v="48"/>
    <x v="5"/>
    <x v="1"/>
    <x v="10"/>
    <x v="142"/>
  </r>
  <r>
    <x v="68"/>
    <x v="2"/>
    <x v="59"/>
    <x v="62"/>
    <x v="67"/>
    <x v="67"/>
    <x v="49"/>
    <x v="8"/>
    <x v="3"/>
    <x v="7"/>
    <x v="143"/>
  </r>
  <r>
    <x v="68"/>
    <x v="2"/>
    <x v="60"/>
    <x v="62"/>
    <x v="67"/>
    <x v="67"/>
    <x v="49"/>
    <x v="8"/>
    <x v="3"/>
    <x v="5"/>
    <x v="144"/>
  </r>
  <r>
    <x v="68"/>
    <x v="2"/>
    <x v="60"/>
    <x v="62"/>
    <x v="67"/>
    <x v="67"/>
    <x v="49"/>
    <x v="8"/>
    <x v="3"/>
    <x v="4"/>
    <x v="145"/>
  </r>
  <r>
    <x v="69"/>
    <x v="2"/>
    <x v="61"/>
    <x v="63"/>
    <x v="68"/>
    <x v="68"/>
    <x v="2"/>
    <x v="2"/>
    <x v="0"/>
    <x v="7"/>
    <x v="146"/>
  </r>
  <r>
    <x v="69"/>
    <x v="2"/>
    <x v="62"/>
    <x v="63"/>
    <x v="68"/>
    <x v="68"/>
    <x v="2"/>
    <x v="2"/>
    <x v="0"/>
    <x v="10"/>
    <x v="147"/>
  </r>
  <r>
    <x v="69"/>
    <x v="2"/>
    <x v="62"/>
    <x v="63"/>
    <x v="68"/>
    <x v="68"/>
    <x v="2"/>
    <x v="2"/>
    <x v="0"/>
    <x v="3"/>
    <x v="148"/>
  </r>
  <r>
    <x v="69"/>
    <x v="2"/>
    <x v="63"/>
    <x v="63"/>
    <x v="68"/>
    <x v="68"/>
    <x v="2"/>
    <x v="2"/>
    <x v="0"/>
    <x v="9"/>
    <x v="149"/>
  </r>
  <r>
    <x v="70"/>
    <x v="2"/>
    <x v="64"/>
    <x v="64"/>
    <x v="65"/>
    <x v="65"/>
    <x v="20"/>
    <x v="5"/>
    <x v="1"/>
    <x v="9"/>
    <x v="150"/>
  </r>
  <r>
    <x v="71"/>
    <x v="2"/>
    <x v="64"/>
    <x v="65"/>
    <x v="69"/>
    <x v="69"/>
    <x v="50"/>
    <x v="26"/>
    <x v="2"/>
    <x v="10"/>
    <x v="151"/>
  </r>
  <r>
    <x v="72"/>
    <x v="2"/>
    <x v="65"/>
    <x v="66"/>
    <x v="70"/>
    <x v="70"/>
    <x v="15"/>
    <x v="12"/>
    <x v="2"/>
    <x v="4"/>
    <x v="152"/>
  </r>
  <r>
    <x v="73"/>
    <x v="2"/>
    <x v="65"/>
    <x v="67"/>
    <x v="71"/>
    <x v="71"/>
    <x v="12"/>
    <x v="5"/>
    <x v="1"/>
    <x v="2"/>
    <x v="153"/>
  </r>
  <r>
    <x v="74"/>
    <x v="2"/>
    <x v="66"/>
    <x v="68"/>
    <x v="72"/>
    <x v="72"/>
    <x v="51"/>
    <x v="27"/>
    <x v="1"/>
    <x v="2"/>
    <x v="154"/>
  </r>
  <r>
    <x v="75"/>
    <x v="2"/>
    <x v="66"/>
    <x v="69"/>
    <x v="73"/>
    <x v="73"/>
    <x v="52"/>
    <x v="7"/>
    <x v="2"/>
    <x v="14"/>
    <x v="155"/>
  </r>
  <r>
    <x v="75"/>
    <x v="2"/>
    <x v="66"/>
    <x v="69"/>
    <x v="73"/>
    <x v="73"/>
    <x v="52"/>
    <x v="7"/>
    <x v="2"/>
    <x v="3"/>
    <x v="156"/>
  </r>
  <r>
    <x v="75"/>
    <x v="2"/>
    <x v="67"/>
    <x v="69"/>
    <x v="73"/>
    <x v="73"/>
    <x v="52"/>
    <x v="7"/>
    <x v="2"/>
    <x v="10"/>
    <x v="157"/>
  </r>
  <r>
    <x v="75"/>
    <x v="2"/>
    <x v="67"/>
    <x v="69"/>
    <x v="73"/>
    <x v="73"/>
    <x v="52"/>
    <x v="7"/>
    <x v="2"/>
    <x v="9"/>
    <x v="158"/>
  </r>
  <r>
    <x v="75"/>
    <x v="2"/>
    <x v="68"/>
    <x v="69"/>
    <x v="73"/>
    <x v="73"/>
    <x v="52"/>
    <x v="7"/>
    <x v="2"/>
    <x v="8"/>
    <x v="159"/>
  </r>
  <r>
    <x v="75"/>
    <x v="2"/>
    <x v="68"/>
    <x v="69"/>
    <x v="73"/>
    <x v="73"/>
    <x v="52"/>
    <x v="7"/>
    <x v="2"/>
    <x v="4"/>
    <x v="160"/>
  </r>
  <r>
    <x v="76"/>
    <x v="2"/>
    <x v="68"/>
    <x v="70"/>
    <x v="74"/>
    <x v="74"/>
    <x v="15"/>
    <x v="12"/>
    <x v="2"/>
    <x v="9"/>
    <x v="161"/>
  </r>
  <r>
    <x v="77"/>
    <x v="2"/>
    <x v="69"/>
    <x v="71"/>
    <x v="75"/>
    <x v="75"/>
    <x v="20"/>
    <x v="5"/>
    <x v="1"/>
    <x v="0"/>
    <x v="162"/>
  </r>
  <r>
    <x v="78"/>
    <x v="2"/>
    <x v="70"/>
    <x v="72"/>
    <x v="76"/>
    <x v="76"/>
    <x v="20"/>
    <x v="5"/>
    <x v="1"/>
    <x v="13"/>
    <x v="163"/>
  </r>
  <r>
    <x v="78"/>
    <x v="2"/>
    <x v="70"/>
    <x v="72"/>
    <x v="76"/>
    <x v="76"/>
    <x v="20"/>
    <x v="5"/>
    <x v="1"/>
    <x v="12"/>
    <x v="164"/>
  </r>
  <r>
    <x v="78"/>
    <x v="2"/>
    <x v="70"/>
    <x v="72"/>
    <x v="76"/>
    <x v="76"/>
    <x v="20"/>
    <x v="5"/>
    <x v="1"/>
    <x v="0"/>
    <x v="165"/>
  </r>
  <r>
    <x v="78"/>
    <x v="2"/>
    <x v="70"/>
    <x v="72"/>
    <x v="76"/>
    <x v="76"/>
    <x v="20"/>
    <x v="5"/>
    <x v="1"/>
    <x v="5"/>
    <x v="166"/>
  </r>
  <r>
    <x v="79"/>
    <x v="2"/>
    <x v="70"/>
    <x v="72"/>
    <x v="77"/>
    <x v="77"/>
    <x v="21"/>
    <x v="16"/>
    <x v="2"/>
    <x v="7"/>
    <x v="167"/>
  </r>
  <r>
    <x v="80"/>
    <x v="2"/>
    <x v="70"/>
    <x v="73"/>
    <x v="78"/>
    <x v="78"/>
    <x v="53"/>
    <x v="9"/>
    <x v="3"/>
    <x v="0"/>
    <x v="168"/>
  </r>
  <r>
    <x v="80"/>
    <x v="2"/>
    <x v="70"/>
    <x v="73"/>
    <x v="78"/>
    <x v="78"/>
    <x v="53"/>
    <x v="9"/>
    <x v="3"/>
    <x v="0"/>
    <x v="169"/>
  </r>
  <r>
    <x v="81"/>
    <x v="2"/>
    <x v="71"/>
    <x v="74"/>
    <x v="79"/>
    <x v="79"/>
    <x v="54"/>
    <x v="3"/>
    <x v="0"/>
    <x v="2"/>
    <x v="170"/>
  </r>
  <r>
    <x v="81"/>
    <x v="2"/>
    <x v="71"/>
    <x v="74"/>
    <x v="79"/>
    <x v="79"/>
    <x v="54"/>
    <x v="3"/>
    <x v="0"/>
    <x v="5"/>
    <x v="171"/>
  </r>
  <r>
    <x v="82"/>
    <x v="2"/>
    <x v="72"/>
    <x v="75"/>
    <x v="80"/>
    <x v="80"/>
    <x v="55"/>
    <x v="7"/>
    <x v="2"/>
    <x v="4"/>
    <x v="172"/>
  </r>
  <r>
    <x v="82"/>
    <x v="2"/>
    <x v="72"/>
    <x v="75"/>
    <x v="80"/>
    <x v="80"/>
    <x v="55"/>
    <x v="7"/>
    <x v="2"/>
    <x v="4"/>
    <x v="173"/>
  </r>
  <r>
    <x v="83"/>
    <x v="2"/>
    <x v="73"/>
    <x v="76"/>
    <x v="81"/>
    <x v="81"/>
    <x v="56"/>
    <x v="8"/>
    <x v="3"/>
    <x v="3"/>
    <x v="174"/>
  </r>
  <r>
    <x v="84"/>
    <x v="2"/>
    <x v="74"/>
    <x v="77"/>
    <x v="82"/>
    <x v="82"/>
    <x v="57"/>
    <x v="28"/>
    <x v="1"/>
    <x v="10"/>
    <x v="175"/>
  </r>
  <r>
    <x v="84"/>
    <x v="2"/>
    <x v="74"/>
    <x v="77"/>
    <x v="82"/>
    <x v="82"/>
    <x v="57"/>
    <x v="28"/>
    <x v="1"/>
    <x v="11"/>
    <x v="176"/>
  </r>
  <r>
    <x v="84"/>
    <x v="2"/>
    <x v="75"/>
    <x v="77"/>
    <x v="82"/>
    <x v="82"/>
    <x v="57"/>
    <x v="28"/>
    <x v="1"/>
    <x v="9"/>
    <x v="126"/>
  </r>
  <r>
    <x v="84"/>
    <x v="2"/>
    <x v="76"/>
    <x v="77"/>
    <x v="82"/>
    <x v="82"/>
    <x v="57"/>
    <x v="28"/>
    <x v="1"/>
    <x v="0"/>
    <x v="177"/>
  </r>
  <r>
    <x v="85"/>
    <x v="2"/>
    <x v="76"/>
    <x v="78"/>
    <x v="83"/>
    <x v="83"/>
    <x v="20"/>
    <x v="5"/>
    <x v="1"/>
    <x v="2"/>
    <x v="178"/>
  </r>
  <r>
    <x v="86"/>
    <x v="2"/>
    <x v="77"/>
    <x v="79"/>
    <x v="65"/>
    <x v="65"/>
    <x v="58"/>
    <x v="9"/>
    <x v="3"/>
    <x v="0"/>
    <x v="179"/>
  </r>
  <r>
    <x v="86"/>
    <x v="2"/>
    <x v="78"/>
    <x v="79"/>
    <x v="65"/>
    <x v="65"/>
    <x v="58"/>
    <x v="9"/>
    <x v="3"/>
    <x v="9"/>
    <x v="180"/>
  </r>
  <r>
    <x v="86"/>
    <x v="2"/>
    <x v="78"/>
    <x v="79"/>
    <x v="65"/>
    <x v="65"/>
    <x v="58"/>
    <x v="9"/>
    <x v="3"/>
    <x v="6"/>
    <x v="181"/>
  </r>
  <r>
    <x v="87"/>
    <x v="2"/>
    <x v="78"/>
    <x v="80"/>
    <x v="84"/>
    <x v="84"/>
    <x v="19"/>
    <x v="4"/>
    <x v="1"/>
    <x v="0"/>
    <x v="182"/>
  </r>
  <r>
    <x v="88"/>
    <x v="2"/>
    <x v="78"/>
    <x v="81"/>
    <x v="85"/>
    <x v="85"/>
    <x v="59"/>
    <x v="29"/>
    <x v="0"/>
    <x v="6"/>
    <x v="183"/>
  </r>
  <r>
    <x v="89"/>
    <x v="2"/>
    <x v="78"/>
    <x v="82"/>
    <x v="86"/>
    <x v="86"/>
    <x v="0"/>
    <x v="0"/>
    <x v="0"/>
    <x v="4"/>
    <x v="184"/>
  </r>
  <r>
    <x v="90"/>
    <x v="2"/>
    <x v="78"/>
    <x v="83"/>
    <x v="56"/>
    <x v="56"/>
    <x v="53"/>
    <x v="30"/>
    <x v="3"/>
    <x v="0"/>
    <x v="185"/>
  </r>
  <r>
    <x v="91"/>
    <x v="2"/>
    <x v="78"/>
    <x v="84"/>
    <x v="87"/>
    <x v="87"/>
    <x v="60"/>
    <x v="2"/>
    <x v="0"/>
    <x v="3"/>
    <x v="186"/>
  </r>
  <r>
    <x v="91"/>
    <x v="2"/>
    <x v="78"/>
    <x v="84"/>
    <x v="87"/>
    <x v="87"/>
    <x v="60"/>
    <x v="2"/>
    <x v="0"/>
    <x v="3"/>
    <x v="187"/>
  </r>
  <r>
    <x v="91"/>
    <x v="3"/>
    <x v="79"/>
    <x v="84"/>
    <x v="87"/>
    <x v="87"/>
    <x v="60"/>
    <x v="2"/>
    <x v="0"/>
    <x v="6"/>
    <x v="188"/>
  </r>
  <r>
    <x v="92"/>
    <x v="3"/>
    <x v="79"/>
    <x v="85"/>
    <x v="88"/>
    <x v="88"/>
    <x v="61"/>
    <x v="12"/>
    <x v="2"/>
    <x v="6"/>
    <x v="189"/>
  </r>
  <r>
    <x v="92"/>
    <x v="3"/>
    <x v="79"/>
    <x v="85"/>
    <x v="88"/>
    <x v="88"/>
    <x v="61"/>
    <x v="12"/>
    <x v="2"/>
    <x v="3"/>
    <x v="190"/>
  </r>
  <r>
    <x v="92"/>
    <x v="3"/>
    <x v="79"/>
    <x v="85"/>
    <x v="88"/>
    <x v="88"/>
    <x v="61"/>
    <x v="12"/>
    <x v="2"/>
    <x v="0"/>
    <x v="191"/>
  </r>
  <r>
    <x v="92"/>
    <x v="3"/>
    <x v="79"/>
    <x v="85"/>
    <x v="88"/>
    <x v="88"/>
    <x v="61"/>
    <x v="12"/>
    <x v="2"/>
    <x v="3"/>
    <x v="192"/>
  </r>
  <r>
    <x v="92"/>
    <x v="3"/>
    <x v="80"/>
    <x v="85"/>
    <x v="88"/>
    <x v="88"/>
    <x v="61"/>
    <x v="12"/>
    <x v="2"/>
    <x v="7"/>
    <x v="193"/>
  </r>
  <r>
    <x v="92"/>
    <x v="3"/>
    <x v="80"/>
    <x v="85"/>
    <x v="88"/>
    <x v="88"/>
    <x v="61"/>
    <x v="12"/>
    <x v="2"/>
    <x v="10"/>
    <x v="194"/>
  </r>
  <r>
    <x v="92"/>
    <x v="3"/>
    <x v="80"/>
    <x v="85"/>
    <x v="88"/>
    <x v="88"/>
    <x v="61"/>
    <x v="12"/>
    <x v="2"/>
    <x v="4"/>
    <x v="195"/>
  </r>
  <r>
    <x v="93"/>
    <x v="3"/>
    <x v="81"/>
    <x v="86"/>
    <x v="89"/>
    <x v="89"/>
    <x v="7"/>
    <x v="2"/>
    <x v="0"/>
    <x v="10"/>
    <x v="196"/>
  </r>
  <r>
    <x v="94"/>
    <x v="3"/>
    <x v="82"/>
    <x v="87"/>
    <x v="90"/>
    <x v="90"/>
    <x v="62"/>
    <x v="20"/>
    <x v="2"/>
    <x v="7"/>
    <x v="197"/>
  </r>
  <r>
    <x v="94"/>
    <x v="3"/>
    <x v="83"/>
    <x v="87"/>
    <x v="90"/>
    <x v="90"/>
    <x v="62"/>
    <x v="20"/>
    <x v="2"/>
    <x v="5"/>
    <x v="198"/>
  </r>
  <r>
    <x v="95"/>
    <x v="3"/>
    <x v="84"/>
    <x v="88"/>
    <x v="91"/>
    <x v="91"/>
    <x v="63"/>
    <x v="7"/>
    <x v="2"/>
    <x v="3"/>
    <x v="199"/>
  </r>
  <r>
    <x v="96"/>
    <x v="3"/>
    <x v="84"/>
    <x v="89"/>
    <x v="92"/>
    <x v="92"/>
    <x v="64"/>
    <x v="5"/>
    <x v="1"/>
    <x v="6"/>
    <x v="200"/>
  </r>
  <r>
    <x v="96"/>
    <x v="3"/>
    <x v="85"/>
    <x v="89"/>
    <x v="92"/>
    <x v="92"/>
    <x v="64"/>
    <x v="5"/>
    <x v="1"/>
    <x v="3"/>
    <x v="201"/>
  </r>
  <r>
    <x v="97"/>
    <x v="3"/>
    <x v="86"/>
    <x v="90"/>
    <x v="93"/>
    <x v="93"/>
    <x v="21"/>
    <x v="16"/>
    <x v="2"/>
    <x v="0"/>
    <x v="202"/>
  </r>
  <r>
    <x v="98"/>
    <x v="3"/>
    <x v="86"/>
    <x v="89"/>
    <x v="94"/>
    <x v="94"/>
    <x v="2"/>
    <x v="2"/>
    <x v="0"/>
    <x v="6"/>
    <x v="60"/>
  </r>
  <r>
    <x v="99"/>
    <x v="3"/>
    <x v="87"/>
    <x v="91"/>
    <x v="95"/>
    <x v="95"/>
    <x v="30"/>
    <x v="7"/>
    <x v="2"/>
    <x v="14"/>
    <x v="203"/>
  </r>
  <r>
    <x v="99"/>
    <x v="3"/>
    <x v="87"/>
    <x v="91"/>
    <x v="95"/>
    <x v="95"/>
    <x v="30"/>
    <x v="7"/>
    <x v="2"/>
    <x v="13"/>
    <x v="204"/>
  </r>
  <r>
    <x v="99"/>
    <x v="3"/>
    <x v="88"/>
    <x v="91"/>
    <x v="95"/>
    <x v="95"/>
    <x v="30"/>
    <x v="7"/>
    <x v="2"/>
    <x v="3"/>
    <x v="205"/>
  </r>
  <r>
    <x v="99"/>
    <x v="3"/>
    <x v="89"/>
    <x v="91"/>
    <x v="95"/>
    <x v="95"/>
    <x v="30"/>
    <x v="7"/>
    <x v="2"/>
    <x v="13"/>
    <x v="206"/>
  </r>
  <r>
    <x v="100"/>
    <x v="3"/>
    <x v="90"/>
    <x v="92"/>
    <x v="96"/>
    <x v="96"/>
    <x v="2"/>
    <x v="2"/>
    <x v="0"/>
    <x v="7"/>
    <x v="207"/>
  </r>
  <r>
    <x v="101"/>
    <x v="3"/>
    <x v="90"/>
    <x v="93"/>
    <x v="97"/>
    <x v="97"/>
    <x v="7"/>
    <x v="2"/>
    <x v="0"/>
    <x v="4"/>
    <x v="208"/>
  </r>
  <r>
    <x v="101"/>
    <x v="3"/>
    <x v="90"/>
    <x v="93"/>
    <x v="97"/>
    <x v="97"/>
    <x v="7"/>
    <x v="2"/>
    <x v="0"/>
    <x v="5"/>
    <x v="209"/>
  </r>
  <r>
    <x v="101"/>
    <x v="3"/>
    <x v="90"/>
    <x v="93"/>
    <x v="97"/>
    <x v="97"/>
    <x v="7"/>
    <x v="2"/>
    <x v="0"/>
    <x v="10"/>
    <x v="210"/>
  </r>
  <r>
    <x v="102"/>
    <x v="3"/>
    <x v="90"/>
    <x v="94"/>
    <x v="98"/>
    <x v="98"/>
    <x v="19"/>
    <x v="4"/>
    <x v="1"/>
    <x v="3"/>
    <x v="211"/>
  </r>
  <r>
    <x v="102"/>
    <x v="3"/>
    <x v="91"/>
    <x v="94"/>
    <x v="98"/>
    <x v="98"/>
    <x v="19"/>
    <x v="4"/>
    <x v="1"/>
    <x v="7"/>
    <x v="212"/>
  </r>
  <r>
    <x v="102"/>
    <x v="3"/>
    <x v="92"/>
    <x v="94"/>
    <x v="98"/>
    <x v="98"/>
    <x v="19"/>
    <x v="4"/>
    <x v="1"/>
    <x v="10"/>
    <x v="213"/>
  </r>
  <r>
    <x v="103"/>
    <x v="3"/>
    <x v="93"/>
    <x v="95"/>
    <x v="99"/>
    <x v="99"/>
    <x v="49"/>
    <x v="8"/>
    <x v="3"/>
    <x v="10"/>
    <x v="214"/>
  </r>
  <r>
    <x v="104"/>
    <x v="3"/>
    <x v="93"/>
    <x v="96"/>
    <x v="100"/>
    <x v="100"/>
    <x v="19"/>
    <x v="4"/>
    <x v="1"/>
    <x v="2"/>
    <x v="215"/>
  </r>
  <r>
    <x v="104"/>
    <x v="3"/>
    <x v="93"/>
    <x v="96"/>
    <x v="100"/>
    <x v="100"/>
    <x v="19"/>
    <x v="4"/>
    <x v="1"/>
    <x v="11"/>
    <x v="216"/>
  </r>
  <r>
    <x v="105"/>
    <x v="3"/>
    <x v="93"/>
    <x v="97"/>
    <x v="101"/>
    <x v="101"/>
    <x v="65"/>
    <x v="10"/>
    <x v="1"/>
    <x v="3"/>
    <x v="217"/>
  </r>
  <r>
    <x v="106"/>
    <x v="3"/>
    <x v="94"/>
    <x v="98"/>
    <x v="101"/>
    <x v="101"/>
    <x v="21"/>
    <x v="16"/>
    <x v="2"/>
    <x v="12"/>
    <x v="218"/>
  </r>
  <r>
    <x v="106"/>
    <x v="3"/>
    <x v="95"/>
    <x v="98"/>
    <x v="101"/>
    <x v="101"/>
    <x v="21"/>
    <x v="16"/>
    <x v="2"/>
    <x v="10"/>
    <x v="219"/>
  </r>
  <r>
    <x v="106"/>
    <x v="3"/>
    <x v="95"/>
    <x v="98"/>
    <x v="101"/>
    <x v="101"/>
    <x v="21"/>
    <x v="16"/>
    <x v="2"/>
    <x v="9"/>
    <x v="220"/>
  </r>
  <r>
    <x v="106"/>
    <x v="3"/>
    <x v="95"/>
    <x v="98"/>
    <x v="101"/>
    <x v="101"/>
    <x v="21"/>
    <x v="16"/>
    <x v="2"/>
    <x v="13"/>
    <x v="221"/>
  </r>
  <r>
    <x v="106"/>
    <x v="3"/>
    <x v="96"/>
    <x v="98"/>
    <x v="101"/>
    <x v="101"/>
    <x v="21"/>
    <x v="16"/>
    <x v="2"/>
    <x v="4"/>
    <x v="222"/>
  </r>
  <r>
    <x v="106"/>
    <x v="3"/>
    <x v="97"/>
    <x v="98"/>
    <x v="101"/>
    <x v="101"/>
    <x v="21"/>
    <x v="16"/>
    <x v="2"/>
    <x v="10"/>
    <x v="223"/>
  </r>
  <r>
    <x v="106"/>
    <x v="3"/>
    <x v="98"/>
    <x v="98"/>
    <x v="101"/>
    <x v="101"/>
    <x v="21"/>
    <x v="16"/>
    <x v="2"/>
    <x v="4"/>
    <x v="224"/>
  </r>
  <r>
    <x v="107"/>
    <x v="3"/>
    <x v="99"/>
    <x v="99"/>
    <x v="102"/>
    <x v="102"/>
    <x v="2"/>
    <x v="2"/>
    <x v="0"/>
    <x v="4"/>
    <x v="225"/>
  </r>
  <r>
    <x v="107"/>
    <x v="3"/>
    <x v="99"/>
    <x v="99"/>
    <x v="102"/>
    <x v="102"/>
    <x v="2"/>
    <x v="2"/>
    <x v="0"/>
    <x v="5"/>
    <x v="226"/>
  </r>
  <r>
    <x v="107"/>
    <x v="3"/>
    <x v="100"/>
    <x v="99"/>
    <x v="102"/>
    <x v="102"/>
    <x v="2"/>
    <x v="2"/>
    <x v="0"/>
    <x v="3"/>
    <x v="227"/>
  </r>
  <r>
    <x v="108"/>
    <x v="3"/>
    <x v="101"/>
    <x v="100"/>
    <x v="103"/>
    <x v="103"/>
    <x v="15"/>
    <x v="12"/>
    <x v="2"/>
    <x v="10"/>
    <x v="228"/>
  </r>
  <r>
    <x v="109"/>
    <x v="3"/>
    <x v="101"/>
    <x v="101"/>
    <x v="104"/>
    <x v="104"/>
    <x v="7"/>
    <x v="2"/>
    <x v="0"/>
    <x v="4"/>
    <x v="229"/>
  </r>
  <r>
    <x v="109"/>
    <x v="3"/>
    <x v="101"/>
    <x v="101"/>
    <x v="104"/>
    <x v="104"/>
    <x v="7"/>
    <x v="2"/>
    <x v="0"/>
    <x v="13"/>
    <x v="230"/>
  </r>
  <r>
    <x v="109"/>
    <x v="3"/>
    <x v="102"/>
    <x v="101"/>
    <x v="104"/>
    <x v="104"/>
    <x v="7"/>
    <x v="2"/>
    <x v="0"/>
    <x v="3"/>
    <x v="231"/>
  </r>
  <r>
    <x v="110"/>
    <x v="3"/>
    <x v="103"/>
    <x v="101"/>
    <x v="105"/>
    <x v="105"/>
    <x v="66"/>
    <x v="11"/>
    <x v="3"/>
    <x v="6"/>
    <x v="232"/>
  </r>
  <r>
    <x v="111"/>
    <x v="3"/>
    <x v="104"/>
    <x v="102"/>
    <x v="106"/>
    <x v="106"/>
    <x v="67"/>
    <x v="4"/>
    <x v="1"/>
    <x v="1"/>
    <x v="233"/>
  </r>
  <r>
    <x v="112"/>
    <x v="3"/>
    <x v="105"/>
    <x v="103"/>
    <x v="107"/>
    <x v="107"/>
    <x v="68"/>
    <x v="29"/>
    <x v="0"/>
    <x v="1"/>
    <x v="2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9">
  <r>
    <s v="CA-2014-104269"/>
    <x v="0"/>
    <d v="2014-01-03T00:00:00"/>
    <d v="2014-03-06T00:00:00"/>
    <s v="DB-13060"/>
    <s v="Dave Brooks"/>
    <s v="Seattle"/>
    <s v="Washington"/>
    <x v="0"/>
    <x v="0"/>
    <n v="457.56799999999998"/>
  </r>
  <r>
    <s v="CA-2014-133690"/>
    <x v="0"/>
    <d v="2014-03-08T00:00:00"/>
    <d v="2014-03-25T00:00:00"/>
    <s v="BS-11755"/>
    <s v="Bruce Stewart"/>
    <s v="Denver"/>
    <s v="Colorado"/>
    <x v="0"/>
    <x v="1"/>
    <n v="218.75"/>
  </r>
  <r>
    <s v="CA-2014-133690"/>
    <x v="0"/>
    <d v="2014-03-08T00:00:00"/>
    <d v="2014-03-25T00:00:00"/>
    <s v="BS-11755"/>
    <s v="Bruce Stewart"/>
    <s v="Denver"/>
    <s v="Colorado"/>
    <x v="0"/>
    <x v="2"/>
    <n v="2.6"/>
  </r>
  <r>
    <s v="CA-2014-118962"/>
    <x v="0"/>
    <d v="2014-03-21T00:00:00"/>
    <d v="2014-05-15T00:00:00"/>
    <s v="CS-12130"/>
    <s v="Chad Sievert"/>
    <s v="Los Angeles"/>
    <s v="California"/>
    <x v="0"/>
    <x v="3"/>
    <n v="20.94"/>
  </r>
  <r>
    <s v="CA-2014-118962"/>
    <x v="0"/>
    <d v="2014-03-21T00:00:00"/>
    <d v="2014-06-14T00:00:00"/>
    <s v="CS-12130"/>
    <s v="Chad Sievert"/>
    <s v="Los Angeles"/>
    <s v="California"/>
    <x v="0"/>
    <x v="3"/>
    <n v="110.96"/>
  </r>
  <r>
    <s v="CA-2014-118962"/>
    <x v="0"/>
    <d v="2014-05-08T00:00:00"/>
    <d v="2014-06-14T00:00:00"/>
    <s v="CS-12130"/>
    <s v="Chad Sievert"/>
    <s v="Los Angeles"/>
    <s v="California"/>
    <x v="0"/>
    <x v="0"/>
    <n v="340.14400000000001"/>
  </r>
  <r>
    <s v="CA-2014-106376"/>
    <x v="0"/>
    <d v="2014-05-08T00:00:00"/>
    <d v="2014-06-14T00:00:00"/>
    <s v="BS-11590"/>
    <s v="Brendan Sweed"/>
    <s v="Gilbert"/>
    <s v="Arizona"/>
    <x v="0"/>
    <x v="4"/>
    <n v="1113.0239999999999"/>
  </r>
  <r>
    <s v="CA-2014-106376"/>
    <x v="0"/>
    <d v="2014-05-08T00:00:00"/>
    <d v="2014-06-14T00:00:00"/>
    <s v="BS-11590"/>
    <s v="Brendan Sweed"/>
    <s v="Gilbert"/>
    <s v="Arizona"/>
    <x v="0"/>
    <x v="5"/>
    <n v="167.96799999999999"/>
  </r>
  <r>
    <s v="CA-2014-166191"/>
    <x v="0"/>
    <d v="2014-05-12T00:00:00"/>
    <d v="2014-06-14T00:00:00"/>
    <s v="DK-13150"/>
    <s v="David Kendrick"/>
    <s v="Decatur"/>
    <s v="Illinois"/>
    <x v="1"/>
    <x v="6"/>
    <n v="24.815999999999999"/>
  </r>
  <r>
    <s v="CA-2014-166191"/>
    <x v="0"/>
    <d v="2014-05-12T00:00:00"/>
    <d v="2014-06-14T00:00:00"/>
    <s v="DK-13150"/>
    <s v="David Kendrick"/>
    <s v="Decatur"/>
    <s v="Illinois"/>
    <x v="1"/>
    <x v="7"/>
    <n v="408.74400000000003"/>
  </r>
  <r>
    <s v="CA-2014-139892"/>
    <x v="0"/>
    <d v="2014-05-12T00:00:00"/>
    <d v="2014-06-14T00:00:00"/>
    <s v="BM-11140"/>
    <s v="Becky Martin"/>
    <s v="San Antonio"/>
    <s v="Texas"/>
    <x v="1"/>
    <x v="4"/>
    <n v="9.9359999999999999"/>
  </r>
  <r>
    <s v="CA-2014-139892"/>
    <x v="0"/>
    <d v="2014-05-12T00:00:00"/>
    <d v="2014-08-05T00:00:00"/>
    <s v="BM-11140"/>
    <s v="Becky Martin"/>
    <s v="San Antonio"/>
    <s v="Texas"/>
    <x v="1"/>
    <x v="8"/>
    <n v="8159.9520000000002"/>
  </r>
  <r>
    <s v="CA-2014-139892"/>
    <x v="0"/>
    <d v="2014-05-13T00:00:00"/>
    <d v="2014-08-05T00:00:00"/>
    <s v="BM-11140"/>
    <s v="Becky Martin"/>
    <s v="San Antonio"/>
    <s v="Texas"/>
    <x v="1"/>
    <x v="6"/>
    <n v="275.928"/>
  </r>
  <r>
    <s v="CA-2014-139892"/>
    <x v="0"/>
    <d v="2014-08-09T00:00:00"/>
    <d v="2014-08-09T00:00:00"/>
    <s v="BM-11140"/>
    <s v="Becky Martin"/>
    <s v="San Antonio"/>
    <s v="Texas"/>
    <x v="1"/>
    <x v="0"/>
    <n v="1740.06"/>
  </r>
  <r>
    <s v="CA-2014-139892"/>
    <x v="0"/>
    <d v="2014-08-09T00:00:00"/>
    <d v="2014-08-09T00:00:00"/>
    <s v="BM-11140"/>
    <s v="Becky Martin"/>
    <s v="San Antonio"/>
    <s v="Texas"/>
    <x v="1"/>
    <x v="4"/>
    <n v="32.064"/>
  </r>
  <r>
    <s v="CA-2014-139892"/>
    <x v="0"/>
    <d v="2014-08-09T00:00:00"/>
    <d v="2014-08-09T00:00:00"/>
    <s v="BM-11140"/>
    <s v="Becky Martin"/>
    <s v="San Antonio"/>
    <s v="Texas"/>
    <x v="1"/>
    <x v="2"/>
    <n v="177.98"/>
  </r>
  <r>
    <s v="CA-2014-139892"/>
    <x v="0"/>
    <d v="2014-08-09T00:00:00"/>
    <d v="2014-08-27T00:00:00"/>
    <s v="BM-11140"/>
    <s v="Becky Martin"/>
    <s v="San Antonio"/>
    <s v="Texas"/>
    <x v="1"/>
    <x v="5"/>
    <n v="143.976"/>
  </r>
  <r>
    <s v="CA-2014-115812"/>
    <x v="0"/>
    <d v="2014-08-09T00:00:00"/>
    <d v="2014-08-27T00:00:00"/>
    <s v="BH-11710"/>
    <s v="Brosina Hoffman"/>
    <s v="Los Angeles"/>
    <s v="California"/>
    <x v="0"/>
    <x v="9"/>
    <n v="48.86"/>
  </r>
  <r>
    <s v="CA-2014-115812"/>
    <x v="0"/>
    <d v="2014-08-09T00:00:00"/>
    <d v="2014-08-27T00:00:00"/>
    <s v="BH-11710"/>
    <s v="Brosina Hoffman"/>
    <s v="Los Angeles"/>
    <s v="California"/>
    <x v="0"/>
    <x v="4"/>
    <n v="7.28"/>
  </r>
  <r>
    <s v="CA-2014-115812"/>
    <x v="0"/>
    <d v="2014-08-09T00:00:00"/>
    <d v="2014-08-27T00:00:00"/>
    <s v="BH-11710"/>
    <s v="Brosina Hoffman"/>
    <s v="Los Angeles"/>
    <s v="California"/>
    <x v="0"/>
    <x v="5"/>
    <n v="907.15200000000004"/>
  </r>
  <r>
    <s v="CA-2014-115812"/>
    <x v="0"/>
    <d v="2014-08-25T00:00:00"/>
    <d v="2014-08-30T00:00:00"/>
    <s v="BH-11710"/>
    <s v="Brosina Hoffman"/>
    <s v="Los Angeles"/>
    <s v="California"/>
    <x v="0"/>
    <x v="10"/>
    <n v="18.504000000000001"/>
  </r>
  <r>
    <s v="CA-2014-115812"/>
    <x v="0"/>
    <d v="2014-08-25T00:00:00"/>
    <d v="2014-09-01T00:00:00"/>
    <s v="BH-11710"/>
    <s v="Brosina Hoffman"/>
    <s v="Los Angeles"/>
    <s v="California"/>
    <x v="0"/>
    <x v="2"/>
    <n v="114.9"/>
  </r>
  <r>
    <s v="CA-2014-115812"/>
    <x v="0"/>
    <d v="2014-08-25T00:00:00"/>
    <d v="2014-09-01T00:00:00"/>
    <s v="BH-11710"/>
    <s v="Brosina Hoffman"/>
    <s v="Los Angeles"/>
    <s v="California"/>
    <x v="0"/>
    <x v="1"/>
    <n v="1706.184"/>
  </r>
  <r>
    <s v="CA-2014-115812"/>
    <x v="0"/>
    <d v="2014-08-25T00:00:00"/>
    <d v="2014-09-01T00:00:00"/>
    <s v="BH-11710"/>
    <s v="Brosina Hoffman"/>
    <s v="Los Angeles"/>
    <s v="California"/>
    <x v="0"/>
    <x v="5"/>
    <n v="911.42399999999998"/>
  </r>
  <r>
    <s v="CA-2014-105893"/>
    <x v="0"/>
    <d v="2014-08-26T00:00:00"/>
    <d v="2014-09-12T00:00:00"/>
    <s v="PK-19075"/>
    <s v="Pete Kriz"/>
    <s v="Madison"/>
    <s v="Wisconsin"/>
    <x v="1"/>
    <x v="6"/>
    <n v="665.88"/>
  </r>
  <r>
    <s v="CA-2014-139451"/>
    <x v="0"/>
    <d v="2014-08-27T00:00:00"/>
    <d v="2014-09-12T00:00:00"/>
    <s v="DN-13690"/>
    <s v="Duane Noonan"/>
    <s v="San Francisco"/>
    <s v="California"/>
    <x v="0"/>
    <x v="4"/>
    <n v="14.9"/>
  </r>
  <r>
    <s v="CA-2014-139451"/>
    <x v="0"/>
    <d v="2014-08-27T00:00:00"/>
    <d v="2014-09-12T00:00:00"/>
    <s v="DN-13690"/>
    <s v="Duane Noonan"/>
    <s v="San Francisco"/>
    <s v="California"/>
    <x v="0"/>
    <x v="6"/>
    <n v="21.39"/>
  </r>
  <r>
    <s v="CA-2015-146262"/>
    <x v="0"/>
    <d v="2014-08-27T00:00:00"/>
    <d v="2014-09-12T00:00:00"/>
    <s v="VW-21775"/>
    <s v="Victoria Wilson"/>
    <s v="Medina"/>
    <s v="Ohio"/>
    <x v="2"/>
    <x v="11"/>
    <n v="23.68"/>
  </r>
  <r>
    <s v="CA-2015-146262"/>
    <x v="0"/>
    <d v="2014-09-06T00:00:00"/>
    <d v="2014-09-12T00:00:00"/>
    <s v="VW-21775"/>
    <s v="Victoria Wilson"/>
    <s v="Medina"/>
    <s v="Ohio"/>
    <x v="2"/>
    <x v="12"/>
    <n v="452.45"/>
  </r>
  <r>
    <s v="CA-2015-146262"/>
    <x v="0"/>
    <d v="2014-09-06T00:00:00"/>
    <d v="2014-09-12T00:00:00"/>
    <s v="VW-21775"/>
    <s v="Victoria Wilson"/>
    <s v="Medina"/>
    <s v="Ohio"/>
    <x v="2"/>
    <x v="5"/>
    <n v="62.981999999999999"/>
  </r>
  <r>
    <s v="CA-2015-146262"/>
    <x v="0"/>
    <d v="2014-09-06T00:00:00"/>
    <d v="2014-09-12T00:00:00"/>
    <s v="VW-21775"/>
    <s v="Victoria Wilson"/>
    <s v="Medina"/>
    <s v="Ohio"/>
    <x v="2"/>
    <x v="8"/>
    <n v="1188"/>
  </r>
  <r>
    <s v="CA-2015-146262"/>
    <x v="0"/>
    <d v="2014-09-06T00:00:00"/>
    <d v="2014-09-17T00:00:00"/>
    <s v="VW-21775"/>
    <s v="Victoria Wilson"/>
    <s v="Medina"/>
    <s v="Ohio"/>
    <x v="2"/>
    <x v="7"/>
    <n v="89.584000000000003"/>
  </r>
  <r>
    <s v="CA-2015-110457"/>
    <x v="0"/>
    <d v="2014-09-06T00:00:00"/>
    <d v="2014-09-19T00:00:00"/>
    <s v="DK-13090"/>
    <s v="Dave Kipp"/>
    <s v="Seattle"/>
    <s v="Washington"/>
    <x v="0"/>
    <x v="1"/>
    <n v="787.53"/>
  </r>
  <r>
    <s v="CA-2015-149734"/>
    <x v="0"/>
    <d v="2014-09-06T00:00:00"/>
    <d v="2014-09-19T00:00:00"/>
    <s v="JC-16105"/>
    <s v="Julie Creighton"/>
    <s v="Durham"/>
    <s v="North Carolina"/>
    <x v="3"/>
    <x v="13"/>
    <n v="200.98400000000001"/>
  </r>
  <r>
    <s v="US-2015-136476"/>
    <x v="0"/>
    <d v="2014-09-06T00:00:00"/>
    <d v="2014-09-25T00:00:00"/>
    <s v="GG-14650"/>
    <s v="Greg Guthrie"/>
    <s v="Bristol"/>
    <s v="Tennessee"/>
    <x v="3"/>
    <x v="10"/>
    <n v="157.79400000000001"/>
  </r>
  <r>
    <s v="CA-2015-110744"/>
    <x v="0"/>
    <d v="2014-09-13T00:00:00"/>
    <d v="2014-10-16T00:00:00"/>
    <s v="HA-14920"/>
    <s v="Helen Andreada"/>
    <s v="Pasadena"/>
    <s v="California"/>
    <x v="0"/>
    <x v="6"/>
    <n v="671.93"/>
  </r>
  <r>
    <s v="CA-2015-101007"/>
    <x v="0"/>
    <d v="2014-09-14T00:00:00"/>
    <d v="2014-10-16T00:00:00"/>
    <s v="MS-17980"/>
    <s v="Michael Stewart"/>
    <s v="Dallas"/>
    <s v="Texas"/>
    <x v="1"/>
    <x v="7"/>
    <n v="20.8"/>
  </r>
  <r>
    <s v="CA-2015-163055"/>
    <x v="0"/>
    <d v="2014-09-14T00:00:00"/>
    <d v="2014-10-25T00:00:00"/>
    <s v="DS-13180"/>
    <s v="David Smith"/>
    <s v="Detroit"/>
    <s v="Michigan"/>
    <x v="1"/>
    <x v="4"/>
    <n v="2.2000000000000002"/>
  </r>
  <r>
    <s v="CA-2015-163055"/>
    <x v="0"/>
    <d v="2014-09-20T00:00:00"/>
    <d v="2014-10-28T00:00:00"/>
    <s v="DS-13180"/>
    <s v="David Smith"/>
    <s v="Detroit"/>
    <s v="Michigan"/>
    <x v="1"/>
    <x v="1"/>
    <n v="622.45000000000005"/>
  </r>
  <r>
    <s v="CA-2015-163055"/>
    <x v="0"/>
    <d v="2014-10-20T00:00:00"/>
    <d v="2014-11-18T00:00:00"/>
    <s v="DS-13180"/>
    <s v="David Smith"/>
    <s v="Detroit"/>
    <s v="Michigan"/>
    <x v="1"/>
    <x v="6"/>
    <n v="21.98"/>
  </r>
  <r>
    <s v="US-2015-108966"/>
    <x v="0"/>
    <d v="2014-10-22T00:00:00"/>
    <d v="2014-11-24T00:00:00"/>
    <s v="SO-20335"/>
    <s v="Sean O'Donnell"/>
    <s v="Fort Lauderdale"/>
    <s v="Florida"/>
    <x v="3"/>
    <x v="1"/>
    <n v="957.57749999999999"/>
  </r>
  <r>
    <s v="US-2015-108966"/>
    <x v="0"/>
    <d v="2014-11-11T00:00:00"/>
    <d v="2014-11-24T00:00:00"/>
    <s v="SO-20335"/>
    <s v="Sean O'Donnell"/>
    <s v="Fort Lauderdale"/>
    <s v="Florida"/>
    <x v="3"/>
    <x v="6"/>
    <n v="22.367999999999999"/>
  </r>
  <r>
    <s v="CA-2015-102281"/>
    <x v="0"/>
    <d v="2014-11-19T00:00:00"/>
    <d v="2014-11-24T00:00:00"/>
    <s v="MP-17470"/>
    <s v="Mark Packer"/>
    <s v="New York City"/>
    <s v="New York"/>
    <x v="2"/>
    <x v="12"/>
    <n v="899.13599999999997"/>
  </r>
  <r>
    <s v="CA-2015-102281"/>
    <x v="0"/>
    <d v="2014-11-19T00:00:00"/>
    <d v="2014-12-01T00:00:00"/>
    <s v="MP-17470"/>
    <s v="Mark Packer"/>
    <s v="New York City"/>
    <s v="New York"/>
    <x v="2"/>
    <x v="5"/>
    <n v="71.760000000000005"/>
  </r>
  <r>
    <s v="CA-2015-102281"/>
    <x v="0"/>
    <d v="2014-11-19T00:00:00"/>
    <d v="2014-12-09T00:00:00"/>
    <s v="MP-17470"/>
    <s v="Mark Packer"/>
    <s v="New York City"/>
    <s v="New York"/>
    <x v="2"/>
    <x v="3"/>
    <n v="51.84"/>
  </r>
  <r>
    <s v="CA-2015-102281"/>
    <x v="0"/>
    <d v="2014-11-26T00:00:00"/>
    <d v="2014-12-09T00:00:00"/>
    <s v="MP-17470"/>
    <s v="Mark Packer"/>
    <s v="New York City"/>
    <s v="New York"/>
    <x v="2"/>
    <x v="12"/>
    <n v="626.35199999999998"/>
  </r>
  <r>
    <s v="CA-2015-102281"/>
    <x v="0"/>
    <d v="2014-12-10T00:00:00"/>
    <d v="2014-12-10T00:00:00"/>
    <s v="MP-17470"/>
    <s v="Mark Packer"/>
    <s v="New York City"/>
    <s v="New York"/>
    <x v="2"/>
    <x v="4"/>
    <n v="19.899999999999999"/>
  </r>
  <r>
    <s v="CA-2016-129903"/>
    <x v="0"/>
    <d v="2014-12-10T00:00:00"/>
    <d v="2014-12-10T00:00:00"/>
    <s v="GZ-14470"/>
    <s v="Gary Zandusky"/>
    <s v="Rochester"/>
    <s v="Minnesota"/>
    <x v="1"/>
    <x v="3"/>
    <n v="23.92"/>
  </r>
  <r>
    <s v="CA-2016-128867"/>
    <x v="0"/>
    <d v="2014-12-26T00:00:00"/>
    <d v="2014-12-28T00:00:00"/>
    <s v="CL-12565"/>
    <s v="Clay Ludtke"/>
    <s v="Urbandale"/>
    <s v="Iowa"/>
    <x v="1"/>
    <x v="4"/>
    <n v="75.959999999999994"/>
  </r>
  <r>
    <s v="CA-2016-128867"/>
    <x v="1"/>
    <d v="2015-01-31T00:00:00"/>
    <d v="2015-01-09T00:00:00"/>
    <s v="CL-12565"/>
    <s v="Clay Ludtke"/>
    <s v="Urbandale"/>
    <s v="Iowa"/>
    <x v="1"/>
    <x v="10"/>
    <n v="27.24"/>
  </r>
  <r>
    <s v="CA-2016-119823"/>
    <x v="1"/>
    <d v="2015-01-31T00:00:00"/>
    <d v="2015-01-09T00:00:00"/>
    <s v="KD-16270"/>
    <s v="Karen Daniels"/>
    <s v="Springfield"/>
    <s v="Virginia"/>
    <x v="3"/>
    <x v="3"/>
    <n v="75.88"/>
  </r>
  <r>
    <s v="CA-2016-157749"/>
    <x v="1"/>
    <d v="2015-01-31T00:00:00"/>
    <d v="2015-01-09T00:00:00"/>
    <s v="KL-16645"/>
    <s v="Ken Lonsdale"/>
    <s v="Chicago"/>
    <s v="Illinois"/>
    <x v="1"/>
    <x v="3"/>
    <n v="25.92"/>
  </r>
  <r>
    <s v="CA-2016-157749"/>
    <x v="1"/>
    <d v="2015-02-01T00:00:00"/>
    <d v="2015-01-09T00:00:00"/>
    <s v="KL-16645"/>
    <s v="Ken Lonsdale"/>
    <s v="Chicago"/>
    <s v="Illinois"/>
    <x v="1"/>
    <x v="9"/>
    <n v="419.68"/>
  </r>
  <r>
    <s v="CA-2016-159695"/>
    <x v="1"/>
    <d v="2015-02-01T00:00:00"/>
    <d v="2015-01-09T00:00:00"/>
    <s v="GM-14455"/>
    <s v="Gary Mitchum"/>
    <s v="Houston"/>
    <s v="Texas"/>
    <x v="1"/>
    <x v="6"/>
    <n v="158.36799999999999"/>
  </r>
  <r>
    <s v="CA-2016-110366"/>
    <x v="1"/>
    <d v="2015-02-01T00:00:00"/>
    <d v="2015-02-05T00:00:00"/>
    <s v="JD-15895"/>
    <s v="Jonathan Doherty"/>
    <s v="Philadelphia"/>
    <s v="Pennsylvania"/>
    <x v="2"/>
    <x v="9"/>
    <n v="82.8"/>
  </r>
  <r>
    <s v="CA-2016-161389"/>
    <x v="1"/>
    <d v="2015-02-01T00:00:00"/>
    <d v="2015-02-05T00:00:00"/>
    <s v="IM-15070"/>
    <s v="Irene Maddox"/>
    <s v="Seattle"/>
    <s v="Washington"/>
    <x v="0"/>
    <x v="10"/>
    <n v="407.976"/>
  </r>
  <r>
    <s v="CA-2016-114489"/>
    <x v="1"/>
    <d v="2015-02-01T00:00:00"/>
    <d v="2015-02-05T00:00:00"/>
    <s v="JE-16165"/>
    <s v="Justin Ellison"/>
    <s v="Franklin"/>
    <s v="Wisconsin"/>
    <x v="1"/>
    <x v="5"/>
    <n v="384.45"/>
  </r>
  <r>
    <s v="CA-2016-114489"/>
    <x v="1"/>
    <d v="2015-02-03T00:00:00"/>
    <d v="2015-02-13T00:00:00"/>
    <s v="JE-16165"/>
    <s v="Justin Ellison"/>
    <s v="Franklin"/>
    <s v="Wisconsin"/>
    <x v="1"/>
    <x v="5"/>
    <n v="149.97"/>
  </r>
  <r>
    <s v="CA-2016-114489"/>
    <x v="1"/>
    <d v="2015-02-28T00:00:00"/>
    <d v="2015-03-04T00:00:00"/>
    <s v="JE-16165"/>
    <s v="Justin Ellison"/>
    <s v="Franklin"/>
    <s v="Wisconsin"/>
    <x v="1"/>
    <x v="0"/>
    <n v="1951.84"/>
  </r>
  <r>
    <s v="CA-2016-114489"/>
    <x v="1"/>
    <d v="2015-02-28T00:00:00"/>
    <d v="2015-03-04T00:00:00"/>
    <s v="JE-16165"/>
    <s v="Justin Ellison"/>
    <s v="Franklin"/>
    <s v="Wisconsin"/>
    <x v="1"/>
    <x v="10"/>
    <n v="171.55"/>
  </r>
  <r>
    <s v="CA-2016-149223"/>
    <x v="1"/>
    <d v="2015-03-09T00:00:00"/>
    <d v="2015-03-06T00:00:00"/>
    <s v="ER-13855"/>
    <s v="Elpida Rittenbach"/>
    <s v="Saint Paul"/>
    <s v="Minnesota"/>
    <x v="1"/>
    <x v="2"/>
    <n v="77.88"/>
  </r>
  <r>
    <s v="US-2016-125969"/>
    <x v="1"/>
    <d v="2015-04-18T00:00:00"/>
    <d v="2015-04-10T00:00:00"/>
    <s v="LS-16975"/>
    <s v="Lindsay Shagiari"/>
    <s v="Los Angeles"/>
    <s v="California"/>
    <x v="0"/>
    <x v="0"/>
    <n v="81.424000000000007"/>
  </r>
  <r>
    <s v="US-2016-125969"/>
    <x v="1"/>
    <d v="2015-04-18T00:00:00"/>
    <d v="2015-04-22T00:00:00"/>
    <s v="LS-16975"/>
    <s v="Lindsay Shagiari"/>
    <s v="Los Angeles"/>
    <s v="California"/>
    <x v="0"/>
    <x v="9"/>
    <n v="238.56"/>
  </r>
  <r>
    <s v="CA-2016-113817"/>
    <x v="1"/>
    <d v="2015-04-18T00:00:00"/>
    <d v="2015-04-22T00:00:00"/>
    <s v="MJ-17740"/>
    <s v="Max Jones"/>
    <s v="Seattle"/>
    <s v="Washington"/>
    <x v="0"/>
    <x v="10"/>
    <n v="27.68"/>
  </r>
  <r>
    <s v="CA-2016-152156"/>
    <x v="1"/>
    <d v="2015-04-18T00:00:00"/>
    <d v="2015-04-22T00:00:00"/>
    <s v="CG-12520"/>
    <s v="Claire Gute"/>
    <s v="Henderson"/>
    <s v="Kentucky"/>
    <x v="3"/>
    <x v="12"/>
    <n v="261.95999999999998"/>
  </r>
  <r>
    <s v="CA-2016-152156"/>
    <x v="1"/>
    <d v="2015-04-26T00:00:00"/>
    <d v="2015-04-22T00:00:00"/>
    <s v="CG-12520"/>
    <s v="Claire Gute"/>
    <s v="Henderson"/>
    <s v="Kentucky"/>
    <x v="3"/>
    <x v="0"/>
    <n v="731.94"/>
  </r>
  <r>
    <s v="CA-2016-117590"/>
    <x v="1"/>
    <d v="2015-04-26T00:00:00"/>
    <d v="2015-05-02T00:00:00"/>
    <s v="GH-14485"/>
    <s v="Gene Hale"/>
    <s v="Richardson"/>
    <s v="Texas"/>
    <x v="1"/>
    <x v="5"/>
    <n v="1097.5440000000001"/>
  </r>
  <r>
    <s v="CA-2016-117590"/>
    <x v="1"/>
    <d v="2015-04-26T00:00:00"/>
    <d v="2015-05-02T00:00:00"/>
    <s v="GH-14485"/>
    <s v="Gene Hale"/>
    <s v="Richardson"/>
    <s v="Texas"/>
    <x v="1"/>
    <x v="9"/>
    <n v="190.92"/>
  </r>
  <r>
    <s v="CA-2016-137330"/>
    <x v="1"/>
    <d v="2015-04-30T00:00:00"/>
    <d v="2015-05-02T00:00:00"/>
    <s v="KB-16585"/>
    <s v="Ken Black"/>
    <s v="Fremont"/>
    <s v="Nebraska"/>
    <x v="1"/>
    <x v="4"/>
    <n v="19.46"/>
  </r>
  <r>
    <s v="CA-2016-137330"/>
    <x v="1"/>
    <d v="2015-05-04T00:00:00"/>
    <d v="2015-05-05T00:00:00"/>
    <s v="KB-16585"/>
    <s v="Ken Black"/>
    <s v="Fremont"/>
    <s v="Nebraska"/>
    <x v="1"/>
    <x v="2"/>
    <n v="60.34"/>
  </r>
  <r>
    <s v="CA-2016-118255"/>
    <x v="1"/>
    <d v="2015-05-28T00:00:00"/>
    <d v="2015-06-02T00:00:00"/>
    <s v="ON-18715"/>
    <s v="Odella Nelson"/>
    <s v="Eagan"/>
    <s v="Minnesota"/>
    <x v="1"/>
    <x v="7"/>
    <n v="45.98"/>
  </r>
  <r>
    <s v="CA-2016-118255"/>
    <x v="1"/>
    <d v="2015-05-31T00:00:00"/>
    <d v="2015-06-02T00:00:00"/>
    <s v="ON-18715"/>
    <s v="Odella Nelson"/>
    <s v="Eagan"/>
    <s v="Minnesota"/>
    <x v="1"/>
    <x v="10"/>
    <n v="17.46"/>
  </r>
  <r>
    <s v="CA-2016-162733"/>
    <x v="1"/>
    <d v="2015-05-31T00:00:00"/>
    <d v="2015-06-02T00:00:00"/>
    <s v="TT-21070"/>
    <s v="Ted Trevino"/>
    <s v="Los Angeles"/>
    <s v="California"/>
    <x v="0"/>
    <x v="3"/>
    <n v="5.98"/>
  </r>
  <r>
    <s v="CA-2016-105816"/>
    <x v="1"/>
    <d v="2015-05-31T00:00:00"/>
    <d v="2015-06-03T00:00:00"/>
    <s v="JM-15265"/>
    <s v="Janet Molinari"/>
    <s v="New York City"/>
    <s v="New York"/>
    <x v="2"/>
    <x v="14"/>
    <n v="15.26"/>
  </r>
  <r>
    <s v="CA-2016-105816"/>
    <x v="1"/>
    <d v="2015-07-09T00:00:00"/>
    <d v="2015-08-16T00:00:00"/>
    <s v="JM-15265"/>
    <s v="Janet Molinari"/>
    <s v="New York City"/>
    <s v="New York"/>
    <x v="2"/>
    <x v="5"/>
    <n v="1029.95"/>
  </r>
  <r>
    <s v="CA-2016-138688"/>
    <x v="1"/>
    <d v="2015-09-02T00:00:00"/>
    <d v="2015-08-16T00:00:00"/>
    <s v="DV-13045"/>
    <s v="Darrin Van Huff"/>
    <s v="Los Angeles"/>
    <s v="California"/>
    <x v="0"/>
    <x v="11"/>
    <n v="14.62"/>
  </r>
  <r>
    <s v="CA-2016-127208"/>
    <x v="1"/>
    <d v="2015-09-08T00:00:00"/>
    <d v="2015-08-16T00:00:00"/>
    <s v="SC-20770"/>
    <s v="Stewart Carmichael"/>
    <s v="Decatur"/>
    <s v="Alabama"/>
    <x v="3"/>
    <x v="2"/>
    <n v="208.16"/>
  </r>
  <r>
    <s v="CA-2016-127208"/>
    <x v="1"/>
    <d v="2015-09-08T00:00:00"/>
    <d v="2015-09-08T00:00:00"/>
    <s v="SC-20770"/>
    <s v="Stewart Carmichael"/>
    <s v="Decatur"/>
    <s v="Alabama"/>
    <x v="3"/>
    <x v="10"/>
    <n v="16.739999999999998"/>
  </r>
  <r>
    <s v="CA-2016-103730"/>
    <x v="1"/>
    <d v="2015-09-08T00:00:00"/>
    <d v="2015-09-12T00:00:00"/>
    <s v="SC-20725"/>
    <s v="Steven Cartwright"/>
    <s v="Wilmington"/>
    <s v="Delaware"/>
    <x v="2"/>
    <x v="9"/>
    <n v="47.04"/>
  </r>
  <r>
    <s v="CA-2016-103730"/>
    <x v="1"/>
    <d v="2015-09-17T00:00:00"/>
    <d v="2015-09-21T00:00:00"/>
    <s v="SC-20725"/>
    <s v="Steven Cartwright"/>
    <s v="Wilmington"/>
    <s v="Delaware"/>
    <x v="2"/>
    <x v="10"/>
    <n v="30.84"/>
  </r>
  <r>
    <s v="CA-2016-103730"/>
    <x v="1"/>
    <d v="2015-09-17T00:00:00"/>
    <d v="2015-09-21T00:00:00"/>
    <s v="SC-20725"/>
    <s v="Steven Cartwright"/>
    <s v="Wilmington"/>
    <s v="Delaware"/>
    <x v="2"/>
    <x v="6"/>
    <n v="226.56"/>
  </r>
  <r>
    <s v="CA-2016-103730"/>
    <x v="1"/>
    <d v="2015-09-17T00:00:00"/>
    <d v="2015-09-21T00:00:00"/>
    <s v="SC-20725"/>
    <s v="Steven Cartwright"/>
    <s v="Wilmington"/>
    <s v="Delaware"/>
    <x v="2"/>
    <x v="13"/>
    <n v="115.02"/>
  </r>
  <r>
    <s v="CA-2016-103730"/>
    <x v="1"/>
    <d v="2015-09-17T00:00:00"/>
    <d v="2015-09-21T00:00:00"/>
    <s v="SC-20725"/>
    <s v="Steven Cartwright"/>
    <s v="Wilmington"/>
    <s v="Delaware"/>
    <x v="2"/>
    <x v="5"/>
    <n v="68.040000000000006"/>
  </r>
  <r>
    <s v="CA-2017-135860"/>
    <x v="1"/>
    <d v="2015-09-17T00:00:00"/>
    <d v="2015-09-21T00:00:00"/>
    <s v="JH-15985"/>
    <s v="Joseph Holt"/>
    <s v="Saginaw"/>
    <s v="Michigan"/>
    <x v="1"/>
    <x v="6"/>
    <n v="83.92"/>
  </r>
  <r>
    <s v="CA-2017-135860"/>
    <x v="1"/>
    <d v="2015-09-17T00:00:00"/>
    <d v="2015-09-21T00:00:00"/>
    <s v="JH-15985"/>
    <s v="Joseph Holt"/>
    <s v="Saginaw"/>
    <s v="Michigan"/>
    <x v="1"/>
    <x v="5"/>
    <n v="131.97999999999999"/>
  </r>
  <r>
    <s v="CA-2017-135860"/>
    <x v="1"/>
    <d v="2015-09-17T00:00:00"/>
    <d v="2015-09-21T00:00:00"/>
    <s v="JH-15985"/>
    <s v="Joseph Holt"/>
    <s v="Saginaw"/>
    <s v="Michigan"/>
    <x v="1"/>
    <x v="10"/>
    <n v="15.92"/>
  </r>
  <r>
    <s v="CA-2017-135860"/>
    <x v="1"/>
    <d v="2015-09-25T00:00:00"/>
    <d v="2015-09-30T00:00:00"/>
    <s v="JH-15985"/>
    <s v="Joseph Holt"/>
    <s v="Saginaw"/>
    <s v="Michigan"/>
    <x v="1"/>
    <x v="14"/>
    <n v="52.29"/>
  </r>
  <r>
    <s v="CA-2017-135860"/>
    <x v="1"/>
    <d v="2015-10-15T00:00:00"/>
    <d v="2015-10-14T00:00:00"/>
    <s v="JH-15985"/>
    <s v="Joseph Holt"/>
    <s v="Saginaw"/>
    <s v="Michigan"/>
    <x v="1"/>
    <x v="6"/>
    <n v="91.99"/>
  </r>
  <r>
    <s v="US-2017-164147"/>
    <x v="1"/>
    <d v="2015-10-31T00:00:00"/>
    <d v="2015-10-14T00:00:00"/>
    <s v="DW-13585"/>
    <s v="Dorothy Wardle"/>
    <s v="Columbus"/>
    <s v="Ohio"/>
    <x v="2"/>
    <x v="5"/>
    <n v="59.97"/>
  </r>
  <r>
    <s v="US-2017-164147"/>
    <x v="1"/>
    <d v="2015-11-10T00:00:00"/>
    <d v="2015-10-14T00:00:00"/>
    <s v="DW-13585"/>
    <s v="Dorothy Wardle"/>
    <s v="Columbus"/>
    <s v="Ohio"/>
    <x v="2"/>
    <x v="3"/>
    <n v="78.304000000000002"/>
  </r>
  <r>
    <s v="US-2017-164147"/>
    <x v="1"/>
    <d v="2015-11-10T00:00:00"/>
    <d v="2015-10-14T00:00:00"/>
    <s v="DW-13585"/>
    <s v="Dorothy Wardle"/>
    <s v="Columbus"/>
    <s v="Ohio"/>
    <x v="2"/>
    <x v="14"/>
    <n v="21.456"/>
  </r>
  <r>
    <s v="CA-2017-126382"/>
    <x v="1"/>
    <d v="2015-11-13T00:00:00"/>
    <d v="2015-10-14T00:00:00"/>
    <s v="HK-14890"/>
    <s v="Heather Kirkland"/>
    <s v="Franklin"/>
    <s v="Tennessee"/>
    <x v="3"/>
    <x v="9"/>
    <n v="35.167999999999999"/>
  </r>
  <r>
    <s v="US-2017-107272"/>
    <x v="1"/>
    <d v="2015-11-13T00:00:00"/>
    <d v="2015-10-18T00:00:00"/>
    <s v="TS-21610"/>
    <s v="Troy Staebel"/>
    <s v="Phoenix"/>
    <s v="Arizona"/>
    <x v="0"/>
    <x v="10"/>
    <n v="2.3879999999999999"/>
  </r>
  <r>
    <s v="US-2017-107272"/>
    <x v="1"/>
    <d v="2015-11-13T00:00:00"/>
    <d v="2015-10-18T00:00:00"/>
    <s v="TS-21610"/>
    <s v="Troy Staebel"/>
    <s v="Phoenix"/>
    <s v="Arizona"/>
    <x v="0"/>
    <x v="6"/>
    <n v="243.99199999999999"/>
  </r>
  <r>
    <s v="US-2017-124303"/>
    <x v="1"/>
    <d v="2015-11-21T00:00:00"/>
    <d v="2015-10-20T00:00:00"/>
    <s v="FH-14365"/>
    <s v="Fred Hopkins"/>
    <s v="Philadelphia"/>
    <s v="Pennsylvania"/>
    <x v="2"/>
    <x v="10"/>
    <n v="2.9460000000000002"/>
  </r>
  <r>
    <s v="US-2017-124303"/>
    <x v="1"/>
    <d v="2015-11-21T00:00:00"/>
    <d v="2015-11-06T00:00:00"/>
    <s v="FH-14365"/>
    <s v="Fred Hopkins"/>
    <s v="Philadelphia"/>
    <s v="Pennsylvania"/>
    <x v="2"/>
    <x v="3"/>
    <n v="16.056000000000001"/>
  </r>
  <r>
    <s v="US-2017-109484"/>
    <x v="1"/>
    <d v="2015-11-22T00:00:00"/>
    <d v="2015-11-17T00:00:00"/>
    <s v="RB-19705"/>
    <s v="Roger Barcio"/>
    <s v="Portland"/>
    <s v="Oregon"/>
    <x v="0"/>
    <x v="10"/>
    <n v="5.6820000000000004"/>
  </r>
  <r>
    <s v="CA-2017-107720"/>
    <x v="1"/>
    <d v="2015-11-22T00:00:00"/>
    <d v="2015-11-17T00:00:00"/>
    <s v="VM-21685"/>
    <s v="Valerie Mitchum"/>
    <s v="Westfield"/>
    <s v="New Jersey"/>
    <x v="2"/>
    <x v="6"/>
    <n v="46.26"/>
  </r>
  <r>
    <s v="US-2017-100930"/>
    <x v="1"/>
    <d v="2015-11-24T00:00:00"/>
    <d v="2015-11-17T00:00:00"/>
    <s v="CS-12400"/>
    <s v="Christopher Schild"/>
    <s v="Tampa"/>
    <s v="Florida"/>
    <x v="3"/>
    <x v="1"/>
    <n v="233.86"/>
  </r>
  <r>
    <s v="US-2017-100930"/>
    <x v="1"/>
    <d v="2015-11-24T00:00:00"/>
    <d v="2015-11-23T00:00:00"/>
    <s v="CS-12400"/>
    <s v="Christopher Schild"/>
    <s v="Tampa"/>
    <s v="Florida"/>
    <x v="3"/>
    <x v="1"/>
    <n v="620.61450000000002"/>
  </r>
  <r>
    <s v="US-2017-100930"/>
    <x v="1"/>
    <d v="2015-11-24T00:00:00"/>
    <d v="2015-11-23T00:00:00"/>
    <s v="CS-12400"/>
    <s v="Christopher Schild"/>
    <s v="Tampa"/>
    <s v="Florida"/>
    <x v="3"/>
    <x v="10"/>
    <n v="5.3280000000000003"/>
  </r>
  <r>
    <s v="US-2017-100930"/>
    <x v="1"/>
    <d v="2015-11-24T00:00:00"/>
    <d v="2015-11-26T00:00:00"/>
    <s v="CS-12400"/>
    <s v="Christopher Schild"/>
    <s v="Tampa"/>
    <s v="Florida"/>
    <x v="3"/>
    <x v="9"/>
    <n v="258.072"/>
  </r>
  <r>
    <s v="US-2017-100930"/>
    <x v="1"/>
    <d v="2015-12-10T00:00:00"/>
    <d v="2015-11-26T00:00:00"/>
    <s v="CS-12400"/>
    <s v="Christopher Schild"/>
    <s v="Tampa"/>
    <s v="Florida"/>
    <x v="3"/>
    <x v="7"/>
    <n v="617.976"/>
  </r>
  <r>
    <s v="CA-2017-161018"/>
    <x v="1"/>
    <d v="2015-12-10T00:00:00"/>
    <d v="2015-11-30T00:00:00"/>
    <s v="PN-18775"/>
    <s v="Parhena Norris"/>
    <s v="New York City"/>
    <s v="New York"/>
    <x v="2"/>
    <x v="9"/>
    <n v="96.53"/>
  </r>
  <r>
    <s v="US-2017-118038"/>
    <x v="1"/>
    <d v="2015-12-10T00:00:00"/>
    <d v="2015-11-30T00:00:00"/>
    <s v="KB-16600"/>
    <s v="Ken Brennan"/>
    <s v="Houston"/>
    <s v="Texas"/>
    <x v="1"/>
    <x v="10"/>
    <n v="1.248"/>
  </r>
  <r>
    <s v="US-2017-118038"/>
    <x v="1"/>
    <d v="2015-12-10T00:00:00"/>
    <d v="2015-11-30T00:00:00"/>
    <s v="KB-16600"/>
    <s v="Ken Brennan"/>
    <s v="Houston"/>
    <s v="Texas"/>
    <x v="1"/>
    <x v="9"/>
    <n v="9.7080000000000002"/>
  </r>
  <r>
    <s v="US-2017-118038"/>
    <x v="1"/>
    <d v="2015-12-10T00:00:00"/>
    <d v="2015-11-30T00:00:00"/>
    <s v="KB-16600"/>
    <s v="Ken Brennan"/>
    <s v="Houston"/>
    <s v="Texas"/>
    <x v="1"/>
    <x v="6"/>
    <n v="27.24"/>
  </r>
  <r>
    <s v="CA-2017-108329"/>
    <x v="1"/>
    <d v="2015-12-15T00:00:00"/>
    <d v="2015-12-19T00:00:00"/>
    <s v="LE-16810"/>
    <s v="Laurel Elliston"/>
    <s v="Whittier"/>
    <s v="California"/>
    <x v="0"/>
    <x v="5"/>
    <n v="444.76799999999997"/>
  </r>
  <r>
    <s v="CA-2017-120999"/>
    <x v="1"/>
    <d v="2015-12-24T00:00:00"/>
    <d v="2015-12-27T00:00:00"/>
    <s v="LC-16930"/>
    <s v="Linda Cazamias"/>
    <s v="Naperville"/>
    <s v="Illinois"/>
    <x v="1"/>
    <x v="5"/>
    <n v="147.16800000000001"/>
  </r>
  <r>
    <s v="CA-2017-160514"/>
    <x v="1"/>
    <d v="2015-12-24T00:00:00"/>
    <d v="2015-12-27T00:00:00"/>
    <s v="DB-13120"/>
    <s v="David Bremer"/>
    <s v="Santa Clara"/>
    <s v="California"/>
    <x v="0"/>
    <x v="3"/>
    <n v="10.56"/>
  </r>
  <r>
    <s v="CA-2016-121755"/>
    <x v="1"/>
    <d v="2015-12-24T00:00:00"/>
    <d v="2015-12-27T00:00:00"/>
    <s v="EH-13945"/>
    <s v="Eric Hoffmann"/>
    <s v="Los Angeles"/>
    <s v="California"/>
    <x v="0"/>
    <x v="10"/>
    <n v="11.648"/>
  </r>
  <r>
    <s v="CA-2016-121755"/>
    <x v="1"/>
    <d v="2015-12-24T00:00:00"/>
    <d v="2015-12-27T00:00:00"/>
    <s v="EH-13945"/>
    <s v="Eric Hoffmann"/>
    <s v="Los Angeles"/>
    <s v="California"/>
    <x v="0"/>
    <x v="7"/>
    <n v="90.57"/>
  </r>
  <r>
    <s v="CA-2015-149587"/>
    <x v="1"/>
    <d v="2015-12-24T00:00:00"/>
    <d v="2015-12-27T00:00:00"/>
    <s v="KB-16315"/>
    <s v="Karl Braun"/>
    <s v="Minneapolis"/>
    <s v="Minnesota"/>
    <x v="1"/>
    <x v="3"/>
    <n v="12.96"/>
  </r>
  <r>
    <s v="CA-2015-149587"/>
    <x v="1"/>
    <d v="2015-12-24T00:00:00"/>
    <d v="2015-12-27T00:00:00"/>
    <s v="KB-16315"/>
    <s v="Karl Braun"/>
    <s v="Minneapolis"/>
    <s v="Minnesota"/>
    <x v="1"/>
    <x v="9"/>
    <n v="53.34"/>
  </r>
  <r>
    <s v="CA-2015-149587"/>
    <x v="1"/>
    <d v="2015-12-27T00:00:00"/>
    <d v="2015-12-31T00:00:00"/>
    <s v="KB-16315"/>
    <s v="Karl Braun"/>
    <s v="Minneapolis"/>
    <s v="Minnesota"/>
    <x v="1"/>
    <x v="10"/>
    <n v="32.96"/>
  </r>
  <r>
    <s v="CA-2016-145583"/>
    <x v="1"/>
    <d v="2015-12-27T00:00:00"/>
    <d v="2015-12-31T00:00:00"/>
    <s v="LC-16885"/>
    <s v="Lena Creighton"/>
    <s v="Roseville"/>
    <s v="California"/>
    <x v="0"/>
    <x v="3"/>
    <n v="20.04"/>
  </r>
  <r>
    <s v="CA-2016-145583"/>
    <x v="1"/>
    <d v="2015-12-27T00:00:00"/>
    <d v="2015-12-31T00:00:00"/>
    <s v="LC-16885"/>
    <s v="Lena Creighton"/>
    <s v="Roseville"/>
    <s v="California"/>
    <x v="0"/>
    <x v="3"/>
    <n v="35.44"/>
  </r>
  <r>
    <s v="CA-2016-145583"/>
    <x v="1"/>
    <d v="2015-12-27T00:00:00"/>
    <d v="2015-12-31T00:00:00"/>
    <s v="LC-16885"/>
    <s v="Lena Creighton"/>
    <s v="Roseville"/>
    <s v="California"/>
    <x v="0"/>
    <x v="4"/>
    <n v="11.52"/>
  </r>
  <r>
    <s v="CA-2016-145583"/>
    <x v="1"/>
    <d v="2015-12-28T00:00:00"/>
    <d v="2015-12-31T00:00:00"/>
    <s v="LC-16885"/>
    <s v="Lena Creighton"/>
    <s v="Roseville"/>
    <s v="California"/>
    <x v="0"/>
    <x v="14"/>
    <n v="4.0199999999999996"/>
  </r>
  <r>
    <s v="CA-2016-145583"/>
    <x v="2"/>
    <d v="2016-01-12T00:00:00"/>
    <d v="2016-01-20T00:00:00"/>
    <s v="LC-16885"/>
    <s v="Lena Creighton"/>
    <s v="Roseville"/>
    <s v="California"/>
    <x v="0"/>
    <x v="10"/>
    <n v="76.176000000000002"/>
  </r>
  <r>
    <s v="CA-2016-145583"/>
    <x v="2"/>
    <d v="2016-01-16T00:00:00"/>
    <d v="2016-01-20T00:00:00"/>
    <s v="LC-16885"/>
    <s v="Lena Creighton"/>
    <s v="Roseville"/>
    <s v="California"/>
    <x v="0"/>
    <x v="15"/>
    <n v="65.88"/>
  </r>
  <r>
    <s v="CA-2016-145583"/>
    <x v="2"/>
    <d v="2016-01-16T00:00:00"/>
    <d v="2016-03-13T00:00:00"/>
    <s v="LC-16885"/>
    <s v="Lena Creighton"/>
    <s v="Roseville"/>
    <s v="California"/>
    <x v="0"/>
    <x v="9"/>
    <n v="43.12"/>
  </r>
  <r>
    <s v="CA-2015-129476"/>
    <x v="2"/>
    <d v="2016-03-11T00:00:00"/>
    <d v="2016-03-13T00:00:00"/>
    <s v="PA-19060"/>
    <s v="Pete Armstrong"/>
    <s v="Orland Park"/>
    <s v="Illinois"/>
    <x v="1"/>
    <x v="7"/>
    <n v="339.96"/>
  </r>
  <r>
    <s v="CA-2017-107727"/>
    <x v="2"/>
    <d v="2016-03-11T00:00:00"/>
    <d v="2016-03-16T00:00:00"/>
    <s v="MA-17560"/>
    <s v="Matt Abelman"/>
    <s v="Houston"/>
    <s v="Texas"/>
    <x v="1"/>
    <x v="3"/>
    <n v="29.472000000000001"/>
  </r>
  <r>
    <s v="CA-2014-146703"/>
    <x v="2"/>
    <d v="2016-03-13T00:00:00"/>
    <d v="2016-03-16T00:00:00"/>
    <s v="PO-18865"/>
    <s v="Patrick O'Donnell"/>
    <s v="Westland"/>
    <s v="Michigan"/>
    <x v="1"/>
    <x v="6"/>
    <n v="211.96"/>
  </r>
  <r>
    <s v="CA-2014-110072"/>
    <x v="2"/>
    <d v="2016-03-13T00:00:00"/>
    <d v="2016-04-10T00:00:00"/>
    <s v="MG-17680"/>
    <s v="Maureen Gastineau"/>
    <s v="Newark"/>
    <s v="Ohio"/>
    <x v="2"/>
    <x v="9"/>
    <n v="93.888000000000005"/>
  </r>
  <r>
    <s v="CA-2017-155558"/>
    <x v="2"/>
    <d v="2016-04-06T00:00:00"/>
    <d v="2016-05-12T00:00:00"/>
    <s v="PG-18895"/>
    <s v="Paul Gonzalez"/>
    <s v="Rochester"/>
    <s v="Minnesota"/>
    <x v="1"/>
    <x v="7"/>
    <n v="19.989999999999998"/>
  </r>
  <r>
    <s v="CA-2017-155558"/>
    <x v="2"/>
    <d v="2016-04-06T00:00:00"/>
    <d v="2016-06-06T00:00:00"/>
    <s v="PG-18895"/>
    <s v="Paul Gonzalez"/>
    <s v="Rochester"/>
    <s v="Minnesota"/>
    <x v="1"/>
    <x v="11"/>
    <n v="6.16"/>
  </r>
  <r>
    <s v="CA-2016-130162"/>
    <x v="2"/>
    <d v="2016-04-06T00:00:00"/>
    <d v="2016-06-09T00:00:00"/>
    <s v="JH-15910"/>
    <s v="Jonathan Howell"/>
    <s v="Los Angeles"/>
    <s v="California"/>
    <x v="0"/>
    <x v="6"/>
    <n v="93.06"/>
  </r>
  <r>
    <s v="CA-2016-130162"/>
    <x v="2"/>
    <d v="2016-05-04T00:00:00"/>
    <d v="2016-06-09T00:00:00"/>
    <s v="JH-15910"/>
    <s v="Jonathan Howell"/>
    <s v="Los Angeles"/>
    <s v="California"/>
    <x v="0"/>
    <x v="5"/>
    <n v="302.37599999999998"/>
  </r>
  <r>
    <s v="CA-2015-131457"/>
    <x v="2"/>
    <d v="2016-05-09T00:00:00"/>
    <d v="2016-06-15T00:00:00"/>
    <s v="MZ-17515"/>
    <s v="Mary Zewe"/>
    <s v="Redlands"/>
    <s v="California"/>
    <x v="0"/>
    <x v="13"/>
    <n v="14.28"/>
  </r>
  <r>
    <s v="US-2015-156867"/>
    <x v="2"/>
    <d v="2016-05-12T00:00:00"/>
    <d v="2016-06-15T00:00:00"/>
    <s v="LC-16870"/>
    <s v="Lena Cacioppo"/>
    <s v="Aurora"/>
    <s v="Colorado"/>
    <x v="0"/>
    <x v="7"/>
    <n v="238.89599999999999"/>
  </r>
  <r>
    <s v="US-2015-156867"/>
    <x v="2"/>
    <d v="2016-05-12T00:00:00"/>
    <d v="2016-06-15T00:00:00"/>
    <s v="LC-16870"/>
    <s v="Lena Cacioppo"/>
    <s v="Aurora"/>
    <s v="Colorado"/>
    <x v="0"/>
    <x v="9"/>
    <n v="102.36"/>
  </r>
  <r>
    <s v="US-2015-156867"/>
    <x v="2"/>
    <d v="2016-05-12T00:00:00"/>
    <d v="2016-06-15T00:00:00"/>
    <s v="LC-16870"/>
    <s v="Lena Cacioppo"/>
    <s v="Aurora"/>
    <s v="Colorado"/>
    <x v="0"/>
    <x v="10"/>
    <n v="36.881999999999998"/>
  </r>
  <r>
    <s v="US-2017-119662"/>
    <x v="2"/>
    <d v="2016-05-12T00:00:00"/>
    <d v="2016-06-15T00:00:00"/>
    <s v="CS-12400"/>
    <s v="Christopher Schild"/>
    <s v="Chicago"/>
    <s v="Illinois"/>
    <x v="1"/>
    <x v="6"/>
    <n v="230.376"/>
  </r>
  <r>
    <s v="CA-2016-154508"/>
    <x v="2"/>
    <d v="2016-05-12T00:00:00"/>
    <d v="2016-06-15T00:00:00"/>
    <s v="RD-19900"/>
    <s v="Ruben Dartt"/>
    <s v="Carlsbad"/>
    <s v="New Mexico"/>
    <x v="0"/>
    <x v="13"/>
    <n v="28.4"/>
  </r>
  <r>
    <s v="CA-2014-158274"/>
    <x v="2"/>
    <d v="2016-06-09T00:00:00"/>
    <d v="2016-06-15T00:00:00"/>
    <s v="RM-19675"/>
    <s v="Robert Marley"/>
    <s v="Monroe"/>
    <s v="Louisiana"/>
    <x v="3"/>
    <x v="5"/>
    <n v="503.96"/>
  </r>
  <r>
    <s v="CA-2014-158274"/>
    <x v="2"/>
    <d v="2016-06-11T00:00:00"/>
    <d v="2016-06-16T00:00:00"/>
    <s v="RM-19675"/>
    <s v="Robert Marley"/>
    <s v="Monroe"/>
    <s v="Louisiana"/>
    <x v="3"/>
    <x v="5"/>
    <n v="149.94999999999999"/>
  </r>
  <r>
    <s v="CA-2014-158274"/>
    <x v="2"/>
    <d v="2016-06-11T00:00:00"/>
    <d v="2016-06-18T00:00:00"/>
    <s v="RM-19675"/>
    <s v="Robert Marley"/>
    <s v="Monroe"/>
    <s v="Louisiana"/>
    <x v="3"/>
    <x v="7"/>
    <n v="29"/>
  </r>
  <r>
    <s v="CA-2016-114104"/>
    <x v="2"/>
    <d v="2016-06-17T00:00:00"/>
    <d v="2016-06-18T00:00:00"/>
    <s v="NP-18670"/>
    <s v="Nora Paige"/>
    <s v="Edmond"/>
    <s v="Oklahoma"/>
    <x v="1"/>
    <x v="11"/>
    <n v="14.62"/>
  </r>
  <r>
    <s v="CA-2016-114104"/>
    <x v="2"/>
    <d v="2016-06-17T00:00:00"/>
    <d v="2016-06-18T00:00:00"/>
    <s v="NP-18670"/>
    <s v="Nora Paige"/>
    <s v="Edmond"/>
    <s v="Oklahoma"/>
    <x v="1"/>
    <x v="5"/>
    <n v="944.93"/>
  </r>
  <r>
    <s v="US-2015-101511"/>
    <x v="2"/>
    <d v="2016-06-17T00:00:00"/>
    <d v="2016-06-18T00:00:00"/>
    <s v="JE-15745"/>
    <s v="Joel Eaton"/>
    <s v="Newark"/>
    <s v="Ohio"/>
    <x v="2"/>
    <x v="0"/>
    <n v="396.80200000000002"/>
  </r>
  <r>
    <s v="US-2015-101511"/>
    <x v="2"/>
    <d v="2016-06-17T00:00:00"/>
    <d v="2016-06-18T00:00:00"/>
    <s v="JE-15745"/>
    <s v="Joel Eaton"/>
    <s v="Newark"/>
    <s v="Ohio"/>
    <x v="2"/>
    <x v="15"/>
    <n v="15.88"/>
  </r>
  <r>
    <s v="US-2015-118983"/>
    <x v="2"/>
    <d v="2016-06-17T00:00:00"/>
    <d v="2016-06-18T00:00:00"/>
    <s v="HP-14815"/>
    <s v="Harold Pawlan"/>
    <s v="Fort Worth"/>
    <s v="Texas"/>
    <x v="1"/>
    <x v="2"/>
    <n v="68.81"/>
  </r>
  <r>
    <s v="US-2015-118983"/>
    <x v="2"/>
    <d v="2016-06-17T00:00:00"/>
    <d v="2016-06-18T00:00:00"/>
    <s v="HP-14815"/>
    <s v="Harold Pawlan"/>
    <s v="Fort Worth"/>
    <s v="Texas"/>
    <x v="1"/>
    <x v="10"/>
    <n v="2.544"/>
  </r>
  <r>
    <s v="CA-2017-119004"/>
    <x v="2"/>
    <d v="2016-06-17T00:00:00"/>
    <d v="2016-06-25T00:00:00"/>
    <s v="JM-15250"/>
    <s v="Janet Martin"/>
    <s v="Charlotte"/>
    <s v="North Carolina"/>
    <x v="3"/>
    <x v="7"/>
    <n v="74.111999999999995"/>
  </r>
  <r>
    <s v="CA-2017-119004"/>
    <x v="2"/>
    <d v="2016-06-20T00:00:00"/>
    <d v="2016-06-25T00:00:00"/>
    <s v="JM-15250"/>
    <s v="Janet Martin"/>
    <s v="Charlotte"/>
    <s v="North Carolina"/>
    <x v="3"/>
    <x v="5"/>
    <n v="27.992000000000001"/>
  </r>
  <r>
    <s v="CA-2017-119004"/>
    <x v="2"/>
    <d v="2016-06-20T00:00:00"/>
    <d v="2016-07-22T00:00:00"/>
    <s v="JM-15250"/>
    <s v="Janet Martin"/>
    <s v="Charlotte"/>
    <s v="North Carolina"/>
    <x v="3"/>
    <x v="4"/>
    <n v="3.3039999999999998"/>
  </r>
  <r>
    <s v="CA-2015-135545"/>
    <x v="2"/>
    <d v="2016-07-11T00:00:00"/>
    <d v="2016-07-22T00:00:00"/>
    <s v="KM-16720"/>
    <s v="Kunst Miller"/>
    <s v="Los Angeles"/>
    <s v="California"/>
    <x v="0"/>
    <x v="7"/>
    <n v="13.98"/>
  </r>
  <r>
    <s v="CA-2015-135545"/>
    <x v="2"/>
    <d v="2016-07-16T00:00:00"/>
    <d v="2016-07-22T00:00:00"/>
    <s v="KM-16720"/>
    <s v="Kunst Miller"/>
    <s v="Los Angeles"/>
    <s v="California"/>
    <x v="0"/>
    <x v="10"/>
    <n v="25.824000000000002"/>
  </r>
  <r>
    <s v="CA-2015-135545"/>
    <x v="2"/>
    <d v="2016-07-16T00:00:00"/>
    <d v="2016-09-02T00:00:00"/>
    <s v="KM-16720"/>
    <s v="Kunst Miller"/>
    <s v="Los Angeles"/>
    <s v="California"/>
    <x v="0"/>
    <x v="3"/>
    <n v="146.72999999999999"/>
  </r>
  <r>
    <s v="CA-2015-135545"/>
    <x v="2"/>
    <d v="2016-07-17T00:00:00"/>
    <d v="2016-09-02T00:00:00"/>
    <s v="KM-16720"/>
    <s v="Kunst Miller"/>
    <s v="Los Angeles"/>
    <s v="California"/>
    <x v="0"/>
    <x v="9"/>
    <n v="79.760000000000005"/>
  </r>
  <r>
    <s v="US-2014-147606"/>
    <x v="2"/>
    <d v="2016-08-11T00:00:00"/>
    <d v="2016-09-02T00:00:00"/>
    <s v="JE-15745"/>
    <s v="Joel Eaton"/>
    <s v="Houston"/>
    <s v="Texas"/>
    <x v="1"/>
    <x v="9"/>
    <n v="19.3"/>
  </r>
  <r>
    <s v="CA-2016-105018"/>
    <x v="2"/>
    <d v="2016-08-11T00:00:00"/>
    <d v="2016-09-07T00:00:00"/>
    <s v="SK-19990"/>
    <s v="Sally Knutson"/>
    <s v="Fairfield"/>
    <s v="Connecticut"/>
    <x v="2"/>
    <x v="10"/>
    <n v="7.16"/>
  </r>
  <r>
    <s v="CA-2015-137225"/>
    <x v="2"/>
    <d v="2016-08-12T00:00:00"/>
    <d v="2016-09-11T00:00:00"/>
    <s v="JK-15640"/>
    <s v="Jim Kriz"/>
    <s v="New York City"/>
    <s v="New York"/>
    <x v="2"/>
    <x v="4"/>
    <n v="3.28"/>
  </r>
  <r>
    <s v="US-2017-116701"/>
    <x v="2"/>
    <d v="2016-08-12T00:00:00"/>
    <d v="2016-09-22T00:00:00"/>
    <s v="LC-17140"/>
    <s v="Logan Currie"/>
    <s v="Dallas"/>
    <s v="Texas"/>
    <x v="1"/>
    <x v="2"/>
    <n v="66.284000000000006"/>
  </r>
  <r>
    <s v="CA-2017-155376"/>
    <x v="2"/>
    <d v="2016-08-29T00:00:00"/>
    <d v="2016-09-22T00:00:00"/>
    <s v="SG-20080"/>
    <s v="Sandra Glassco"/>
    <s v="Independence"/>
    <s v="Missouri"/>
    <x v="1"/>
    <x v="2"/>
    <n v="839.43"/>
  </r>
  <r>
    <s v="CA-2015-169397"/>
    <x v="2"/>
    <d v="2016-08-29T00:00:00"/>
    <d v="2016-09-22T00:00:00"/>
    <s v="JB-15925"/>
    <s v="Joni Blumstein"/>
    <s v="Dublin"/>
    <s v="Ohio"/>
    <x v="2"/>
    <x v="14"/>
    <n v="5.5839999999999996"/>
  </r>
  <r>
    <s v="CA-2015-169397"/>
    <x v="2"/>
    <d v="2016-08-29T00:00:00"/>
    <d v="2016-09-23T00:00:00"/>
    <s v="JB-15925"/>
    <s v="Joni Blumstein"/>
    <s v="Dublin"/>
    <s v="Ohio"/>
    <x v="2"/>
    <x v="3"/>
    <n v="22.704000000000001"/>
  </r>
  <r>
    <s v="CA-2015-169397"/>
    <x v="2"/>
    <d v="2016-09-12T00:00:00"/>
    <d v="2016-10-19T00:00:00"/>
    <s v="JB-15925"/>
    <s v="Joni Blumstein"/>
    <s v="Dublin"/>
    <s v="Ohio"/>
    <x v="2"/>
    <x v="10"/>
    <n v="19.776"/>
  </r>
  <r>
    <s v="CA-2015-169397"/>
    <x v="2"/>
    <d v="2016-09-12T00:00:00"/>
    <d v="2016-10-19T00:00:00"/>
    <s v="JB-15925"/>
    <s v="Joni Blumstein"/>
    <s v="Dublin"/>
    <s v="Ohio"/>
    <x v="2"/>
    <x v="9"/>
    <n v="72.703999999999994"/>
  </r>
  <r>
    <s v="CA-2015-169397"/>
    <x v="2"/>
    <d v="2016-09-17T00:00:00"/>
    <d v="2016-10-19T00:00:00"/>
    <s v="JB-15925"/>
    <s v="Joni Blumstein"/>
    <s v="Dublin"/>
    <s v="Ohio"/>
    <x v="2"/>
    <x v="8"/>
    <n v="479.988"/>
  </r>
  <r>
    <s v="CA-2015-169397"/>
    <x v="2"/>
    <d v="2016-09-17T00:00:00"/>
    <d v="2016-10-19T00:00:00"/>
    <s v="JB-15925"/>
    <s v="Joni Blumstein"/>
    <s v="Dublin"/>
    <s v="Ohio"/>
    <x v="2"/>
    <x v="4"/>
    <n v="27.167999999999999"/>
  </r>
  <r>
    <s v="CA-2017-146780"/>
    <x v="2"/>
    <d v="2016-09-17T00:00:00"/>
    <d v="2016-10-19T00:00:00"/>
    <s v="CV-12805"/>
    <s v="Cynthia Voltz"/>
    <s v="New York City"/>
    <s v="New York"/>
    <x v="2"/>
    <x v="9"/>
    <n v="41.96"/>
  </r>
  <r>
    <s v="US-2014-152030"/>
    <x v="2"/>
    <d v="2016-09-18T00:00:00"/>
    <d v="2016-10-19T00:00:00"/>
    <s v="AD-10180"/>
    <s v="Alan Dominguez"/>
    <s v="Houston"/>
    <s v="Texas"/>
    <x v="1"/>
    <x v="0"/>
    <n v="600.55799999999999"/>
  </r>
  <r>
    <s v="CA-2015-117415"/>
    <x v="2"/>
    <d v="2016-10-13T00:00:00"/>
    <d v="2016-10-19T00:00:00"/>
    <s v="SN-20710"/>
    <s v="Steve Nguyen"/>
    <s v="Houston"/>
    <s v="Texas"/>
    <x v="1"/>
    <x v="13"/>
    <n v="113.328"/>
  </r>
  <r>
    <s v="CA-2015-117415"/>
    <x v="2"/>
    <d v="2016-10-13T00:00:00"/>
    <d v="2016-11-01T00:00:00"/>
    <s v="SN-20710"/>
    <s v="Steve Nguyen"/>
    <s v="Houston"/>
    <s v="Texas"/>
    <x v="1"/>
    <x v="12"/>
    <n v="532.39919999999995"/>
  </r>
  <r>
    <s v="CA-2015-117415"/>
    <x v="2"/>
    <d v="2016-10-13T00:00:00"/>
    <d v="2016-11-01T00:00:00"/>
    <s v="SN-20710"/>
    <s v="Steve Nguyen"/>
    <s v="Houston"/>
    <s v="Texas"/>
    <x v="1"/>
    <x v="0"/>
    <n v="212.05799999999999"/>
  </r>
  <r>
    <s v="CA-2015-117415"/>
    <x v="2"/>
    <d v="2016-10-13T00:00:00"/>
    <d v="2016-11-10T00:00:00"/>
    <s v="SN-20710"/>
    <s v="Steve Nguyen"/>
    <s v="Houston"/>
    <s v="Texas"/>
    <x v="1"/>
    <x v="5"/>
    <n v="371.16800000000001"/>
  </r>
  <r>
    <s v="CA-2015-119697"/>
    <x v="2"/>
    <d v="2016-10-13T00:00:00"/>
    <d v="2016-11-10T00:00:00"/>
    <s v="EM-13960"/>
    <s v="Eric Murdock"/>
    <s v="Philadelphia"/>
    <s v="Pennsylvania"/>
    <x v="2"/>
    <x v="7"/>
    <n v="54.384"/>
  </r>
  <r>
    <s v="US-2015-145436"/>
    <x v="2"/>
    <d v="2016-10-13T00:00:00"/>
    <d v="2016-11-10T00:00:00"/>
    <s v="VD-21670"/>
    <s v="Valerie Dominguez"/>
    <s v="Columbia"/>
    <s v="Tennessee"/>
    <x v="3"/>
    <x v="0"/>
    <n v="161.56800000000001"/>
  </r>
  <r>
    <s v="US-2015-145436"/>
    <x v="2"/>
    <d v="2016-10-13T00:00:00"/>
    <d v="2016-11-10T00:00:00"/>
    <s v="VD-21670"/>
    <s v="Valerie Dominguez"/>
    <s v="Columbia"/>
    <s v="Tennessee"/>
    <x v="3"/>
    <x v="0"/>
    <n v="389.69600000000003"/>
  </r>
  <r>
    <s v="CA-2016-158834"/>
    <x v="2"/>
    <d v="2016-10-28T00:00:00"/>
    <d v="2016-11-11T00:00:00"/>
    <s v="TW-21025"/>
    <s v="Tamara Willingham"/>
    <s v="Scottsdale"/>
    <s v="Arizona"/>
    <x v="0"/>
    <x v="2"/>
    <n v="157.91999999999999"/>
  </r>
  <r>
    <s v="CA-2016-158834"/>
    <x v="2"/>
    <d v="2016-10-28T00:00:00"/>
    <d v="2016-11-11T00:00:00"/>
    <s v="TW-21025"/>
    <s v="Tamara Willingham"/>
    <s v="Scottsdale"/>
    <s v="Arizona"/>
    <x v="0"/>
    <x v="5"/>
    <n v="203.184"/>
  </r>
  <r>
    <s v="CA-2014-140004"/>
    <x v="2"/>
    <d v="2016-11-03T00:00:00"/>
    <d v="2016-11-11T00:00:00"/>
    <s v="CB-12025"/>
    <s v="Cassandra Brandow"/>
    <s v="Hamilton"/>
    <s v="Ohio"/>
    <x v="2"/>
    <x v="4"/>
    <n v="7.4080000000000004"/>
  </r>
  <r>
    <s v="CA-2014-140004"/>
    <x v="2"/>
    <d v="2016-11-03T00:00:00"/>
    <d v="2016-11-20T00:00:00"/>
    <s v="CB-12025"/>
    <s v="Cassandra Brandow"/>
    <s v="Hamilton"/>
    <s v="Ohio"/>
    <x v="2"/>
    <x v="4"/>
    <n v="6.048"/>
  </r>
  <r>
    <s v="CA-2017-114412"/>
    <x v="2"/>
    <d v="2016-11-05T00:00:00"/>
    <d v="2016-11-24T00:00:00"/>
    <s v="AA-10480"/>
    <s v="Andrew Allen"/>
    <s v="Concord"/>
    <s v="North Carolina"/>
    <x v="3"/>
    <x v="3"/>
    <n v="15.552"/>
  </r>
  <r>
    <s v="CA-2015-115742"/>
    <x v="2"/>
    <d v="2016-11-12T00:00:00"/>
    <d v="2016-11-24T00:00:00"/>
    <s v="DP-13000"/>
    <s v="Darren Powers"/>
    <s v="New Albany"/>
    <s v="Indiana"/>
    <x v="1"/>
    <x v="10"/>
    <n v="38.22"/>
  </r>
  <r>
    <s v="CA-2015-115742"/>
    <x v="2"/>
    <d v="2016-11-12T00:00:00"/>
    <d v="2016-12-02T00:00:00"/>
    <s v="DP-13000"/>
    <s v="Darren Powers"/>
    <s v="New Albany"/>
    <s v="Indiana"/>
    <x v="1"/>
    <x v="11"/>
    <n v="75.180000000000007"/>
  </r>
  <r>
    <s v="CA-2015-115742"/>
    <x v="2"/>
    <d v="2016-11-16T00:00:00"/>
    <d v="2016-12-04T00:00:00"/>
    <s v="DP-13000"/>
    <s v="Darren Powers"/>
    <s v="New Albany"/>
    <s v="Indiana"/>
    <x v="1"/>
    <x v="9"/>
    <n v="6.16"/>
  </r>
  <r>
    <s v="CA-2015-115742"/>
    <x v="2"/>
    <d v="2016-11-20T00:00:00"/>
    <d v="2016-12-09T00:00:00"/>
    <s v="DP-13000"/>
    <s v="Darren Powers"/>
    <s v="New Albany"/>
    <s v="Indiana"/>
    <x v="1"/>
    <x v="0"/>
    <n v="89.99"/>
  </r>
  <r>
    <s v="US-2017-152366"/>
    <x v="2"/>
    <d v="2016-11-20T00:00:00"/>
    <d v="2016-12-09T00:00:00"/>
    <s v="SJ-20500"/>
    <s v="Shirley Jackson"/>
    <s v="Houston"/>
    <s v="Texas"/>
    <x v="1"/>
    <x v="2"/>
    <n v="97.263999999999996"/>
  </r>
  <r>
    <s v="US-2015-134026"/>
    <x v="2"/>
    <d v="2016-11-28T00:00:00"/>
    <d v="2016-12-09T00:00:00"/>
    <s v="JE-15745"/>
    <s v="Joel Eaton"/>
    <s v="Memphis"/>
    <s v="Tennessee"/>
    <x v="3"/>
    <x v="0"/>
    <n v="831.93600000000004"/>
  </r>
  <r>
    <s v="US-2015-134026"/>
    <x v="2"/>
    <d v="2016-12-06T00:00:00"/>
    <d v="2016-12-09T00:00:00"/>
    <s v="JE-15745"/>
    <s v="Joel Eaton"/>
    <s v="Memphis"/>
    <s v="Tennessee"/>
    <x v="3"/>
    <x v="9"/>
    <n v="97.04"/>
  </r>
  <r>
    <s v="US-2015-134026"/>
    <x v="2"/>
    <d v="2016-12-06T00:00:00"/>
    <d v="2016-12-10T00:00:00"/>
    <s v="JE-15745"/>
    <s v="Joel Eaton"/>
    <s v="Memphis"/>
    <s v="Tennessee"/>
    <x v="3"/>
    <x v="6"/>
    <n v="72.784000000000006"/>
  </r>
  <r>
    <s v="US-2015-164175"/>
    <x v="2"/>
    <d v="2016-12-06T00:00:00"/>
    <d v="2016-12-10T00:00:00"/>
    <s v="PS-18970"/>
    <s v="Paul Stevenson"/>
    <s v="Chicago"/>
    <s v="Illinois"/>
    <x v="1"/>
    <x v="0"/>
    <n v="213.11500000000001"/>
  </r>
  <r>
    <s v="CA-2014-167164"/>
    <x v="2"/>
    <d v="2016-12-06T00:00:00"/>
    <d v="2016-12-10T00:00:00"/>
    <s v="AG-10270"/>
    <s v="Alejandro Grove"/>
    <s v="West Jordan"/>
    <s v="Utah"/>
    <x v="0"/>
    <x v="6"/>
    <n v="55.5"/>
  </r>
  <r>
    <s v="CA-2015-118948"/>
    <x v="2"/>
    <d v="2016-12-06T00:00:00"/>
    <d v="2016-12-13T00:00:00"/>
    <s v="NK-18490"/>
    <s v="Neil Knudson"/>
    <s v="Seattle"/>
    <s v="Washington"/>
    <x v="0"/>
    <x v="4"/>
    <n v="6.63"/>
  </r>
  <r>
    <s v="CA-2017-140088"/>
    <x v="2"/>
    <d v="2016-12-06T00:00:00"/>
    <d v="2016-12-13T00:00:00"/>
    <s v="PO-18865"/>
    <s v="Patrick O'Donnell"/>
    <s v="Columbia"/>
    <s v="South Carolina"/>
    <x v="3"/>
    <x v="0"/>
    <n v="301.95999999999998"/>
  </r>
  <r>
    <s v="CA-2015-124919"/>
    <x v="2"/>
    <d v="2016-12-06T00:00:00"/>
    <d v="2016-12-17T00:00:00"/>
    <s v="SP-20650"/>
    <s v="Stephanie Phelps"/>
    <s v="San Jose"/>
    <s v="California"/>
    <x v="0"/>
    <x v="3"/>
    <n v="58.38"/>
  </r>
  <r>
    <s v="CA-2015-124919"/>
    <x v="2"/>
    <d v="2016-12-06T00:00:00"/>
    <d v="2016-12-17T00:00:00"/>
    <s v="SP-20650"/>
    <s v="Stephanie Phelps"/>
    <s v="San Jose"/>
    <s v="California"/>
    <x v="0"/>
    <x v="3"/>
    <n v="105.52"/>
  </r>
  <r>
    <s v="CA-2015-124919"/>
    <x v="3"/>
    <d v="2017-01-12T00:00:00"/>
    <d v="2017-02-05T00:00:00"/>
    <s v="SP-20650"/>
    <s v="Stephanie Phelps"/>
    <s v="San Jose"/>
    <s v="California"/>
    <x v="0"/>
    <x v="6"/>
    <n v="80.88"/>
  </r>
  <r>
    <s v="CA-2016-111682"/>
    <x v="3"/>
    <d v="2017-01-12T00:00:00"/>
    <d v="2017-02-05T00:00:00"/>
    <s v="TB-21055"/>
    <s v="Ted Butterfield"/>
    <s v="Troy"/>
    <s v="New York"/>
    <x v="2"/>
    <x v="6"/>
    <n v="208.56"/>
  </r>
  <r>
    <s v="CA-2016-111682"/>
    <x v="3"/>
    <d v="2017-01-12T00:00:00"/>
    <d v="2017-02-05T00:00:00"/>
    <s v="TB-21055"/>
    <s v="Ted Butterfield"/>
    <s v="Troy"/>
    <s v="New York"/>
    <x v="2"/>
    <x v="3"/>
    <n v="32.4"/>
  </r>
  <r>
    <s v="CA-2016-111682"/>
    <x v="3"/>
    <d v="2017-01-12T00:00:00"/>
    <d v="2017-04-12T00:00:00"/>
    <s v="TB-21055"/>
    <s v="Ted Butterfield"/>
    <s v="Troy"/>
    <s v="New York"/>
    <x v="2"/>
    <x v="0"/>
    <n v="319.41000000000003"/>
  </r>
  <r>
    <s v="CA-2016-111682"/>
    <x v="3"/>
    <d v="2017-01-12T00:00:00"/>
    <d v="2017-04-12T00:00:00"/>
    <s v="TB-21055"/>
    <s v="Ted Butterfield"/>
    <s v="Troy"/>
    <s v="New York"/>
    <x v="2"/>
    <x v="3"/>
    <n v="14.56"/>
  </r>
  <r>
    <s v="CA-2016-111682"/>
    <x v="3"/>
    <d v="2017-02-02T00:00:00"/>
    <d v="2017-04-12T00:00:00"/>
    <s v="TB-21055"/>
    <s v="Ted Butterfield"/>
    <s v="Troy"/>
    <s v="New York"/>
    <x v="2"/>
    <x v="7"/>
    <n v="30"/>
  </r>
  <r>
    <s v="CA-2016-111682"/>
    <x v="3"/>
    <d v="2017-02-02T00:00:00"/>
    <d v="2017-04-12T00:00:00"/>
    <s v="TB-21055"/>
    <s v="Ted Butterfield"/>
    <s v="Troy"/>
    <s v="New York"/>
    <x v="2"/>
    <x v="10"/>
    <n v="48.48"/>
  </r>
  <r>
    <s v="CA-2016-111682"/>
    <x v="3"/>
    <d v="2017-02-02T00:00:00"/>
    <d v="2017-04-12T00:00:00"/>
    <s v="TB-21055"/>
    <s v="Ted Butterfield"/>
    <s v="Troy"/>
    <s v="New York"/>
    <x v="2"/>
    <x v="4"/>
    <n v="1.68"/>
  </r>
  <r>
    <s v="CA-2017-157833"/>
    <x v="3"/>
    <d v="2017-03-06T00:00:00"/>
    <d v="2017-04-20T00:00:00"/>
    <s v="KD-16345"/>
    <s v="Katherine Ducich"/>
    <s v="San Francisco"/>
    <s v="California"/>
    <x v="0"/>
    <x v="10"/>
    <n v="51.311999999999998"/>
  </r>
  <r>
    <s v="CA-2016-169194"/>
    <x v="3"/>
    <d v="2017-04-15T00:00:00"/>
    <d v="2017-04-25T00:00:00"/>
    <s v="LH-16900"/>
    <s v="Lena Hernandez"/>
    <s v="Dover"/>
    <s v="Delaware"/>
    <x v="2"/>
    <x v="7"/>
    <n v="45"/>
  </r>
  <r>
    <s v="CA-2016-169194"/>
    <x v="3"/>
    <d v="2017-04-21T00:00:00"/>
    <d v="2017-05-30T00:00:00"/>
    <s v="LH-16900"/>
    <s v="Lena Hernandez"/>
    <s v="Dover"/>
    <s v="Delaware"/>
    <x v="2"/>
    <x v="5"/>
    <n v="21.8"/>
  </r>
  <r>
    <s v="CA-2017-105074"/>
    <x v="3"/>
    <d v="2017-05-11T00:00:00"/>
    <d v="2017-06-07T00:00:00"/>
    <s v="MB-17305"/>
    <s v="Maria Bertelson"/>
    <s v="Akron"/>
    <s v="Ohio"/>
    <x v="2"/>
    <x v="3"/>
    <n v="21.744"/>
  </r>
  <r>
    <s v="CA-2016-157000"/>
    <x v="3"/>
    <d v="2017-05-11T00:00:00"/>
    <d v="2017-06-20T00:00:00"/>
    <s v="AM-10360"/>
    <s v="Alice McCarthy"/>
    <s v="Grand Prairie"/>
    <s v="Texas"/>
    <x v="1"/>
    <x v="6"/>
    <n v="37.223999999999997"/>
  </r>
  <r>
    <s v="CA-2016-157000"/>
    <x v="3"/>
    <d v="2017-05-28T00:00:00"/>
    <d v="2017-06-29T00:00:00"/>
    <s v="AM-10360"/>
    <s v="Alice McCarthy"/>
    <s v="Grand Prairie"/>
    <s v="Texas"/>
    <x v="1"/>
    <x v="3"/>
    <n v="20.015999999999998"/>
  </r>
  <r>
    <s v="US-2017-156909"/>
    <x v="3"/>
    <d v="2017-06-07T00:00:00"/>
    <d v="2017-07-13T00:00:00"/>
    <s v="SF-20065"/>
    <s v="Sandra Flanagan"/>
    <s v="Philadelphia"/>
    <s v="Pennsylvania"/>
    <x v="2"/>
    <x v="0"/>
    <n v="71.372"/>
  </r>
  <r>
    <s v="CA-2016-101343"/>
    <x v="3"/>
    <d v="2017-06-07T00:00:00"/>
    <d v="2017-07-13T00:00:00"/>
    <s v="RA-19885"/>
    <s v="Ruben Ausman"/>
    <s v="Los Angeles"/>
    <s v="California"/>
    <x v="0"/>
    <x v="6"/>
    <n v="77.88"/>
  </r>
  <r>
    <s v="CA-2014-115259"/>
    <x v="3"/>
    <d v="2017-06-11T00:00:00"/>
    <d v="2017-07-18T00:00:00"/>
    <s v="RC-19960"/>
    <s v="Ryan Crowe"/>
    <s v="Columbus"/>
    <s v="Ohio"/>
    <x v="2"/>
    <x v="14"/>
    <n v="40.095999999999997"/>
  </r>
  <r>
    <s v="CA-2014-115259"/>
    <x v="3"/>
    <d v="2017-06-11T00:00:00"/>
    <d v="2017-09-15T00:00:00"/>
    <s v="RC-19960"/>
    <s v="Ryan Crowe"/>
    <s v="Columbus"/>
    <s v="Ohio"/>
    <x v="2"/>
    <x v="13"/>
    <n v="4.72"/>
  </r>
  <r>
    <s v="CA-2014-115259"/>
    <x v="3"/>
    <d v="2017-06-17T00:00:00"/>
    <d v="2017-09-17T00:00:00"/>
    <s v="RC-19960"/>
    <s v="Ryan Crowe"/>
    <s v="Columbus"/>
    <s v="Ohio"/>
    <x v="2"/>
    <x v="3"/>
    <n v="23.975999999999999"/>
  </r>
  <r>
    <s v="CA-2014-115259"/>
    <x v="3"/>
    <d v="2017-06-24T00:00:00"/>
    <d v="2017-09-23T00:00:00"/>
    <s v="RC-19960"/>
    <s v="Ryan Crowe"/>
    <s v="Columbus"/>
    <s v="Ohio"/>
    <x v="2"/>
    <x v="13"/>
    <n v="130.464"/>
  </r>
  <r>
    <s v="CA-2014-123260"/>
    <x v="3"/>
    <d v="2017-07-04T00:00:00"/>
    <d v="2017-09-23T00:00:00"/>
    <s v="FM-14290"/>
    <s v="Frank Merwin"/>
    <s v="Los Angeles"/>
    <s v="California"/>
    <x v="0"/>
    <x v="7"/>
    <n v="176.8"/>
  </r>
  <r>
    <s v="CA-2014-143336"/>
    <x v="3"/>
    <d v="2017-07-04T00:00:00"/>
    <d v="2017-09-23T00:00:00"/>
    <s v="ZD-21925"/>
    <s v="Zuschuss Donatelli"/>
    <s v="San Francisco"/>
    <s v="California"/>
    <x v="0"/>
    <x v="4"/>
    <n v="8.56"/>
  </r>
  <r>
    <s v="CA-2014-143336"/>
    <x v="3"/>
    <d v="2017-07-04T00:00:00"/>
    <d v="2017-09-23T00:00:00"/>
    <s v="ZD-21925"/>
    <s v="Zuschuss Donatelli"/>
    <s v="San Francisco"/>
    <s v="California"/>
    <x v="0"/>
    <x v="5"/>
    <n v="213.48"/>
  </r>
  <r>
    <s v="CA-2014-143336"/>
    <x v="3"/>
    <d v="2017-07-04T00:00:00"/>
    <d v="2017-10-23T00:00:00"/>
    <s v="ZD-21925"/>
    <s v="Zuschuss Donatelli"/>
    <s v="San Francisco"/>
    <s v="California"/>
    <x v="0"/>
    <x v="10"/>
    <n v="22.72"/>
  </r>
  <r>
    <s v="CA-2016-158568"/>
    <x v="3"/>
    <d v="2017-07-04T00:00:00"/>
    <d v="2017-11-02T00:00:00"/>
    <s v="RB-19465"/>
    <s v="Rick Bensley"/>
    <s v="Chicago"/>
    <s v="Illinois"/>
    <x v="1"/>
    <x v="3"/>
    <n v="64.623999999999995"/>
  </r>
  <r>
    <s v="CA-2016-158568"/>
    <x v="3"/>
    <d v="2017-07-16T00:00:00"/>
    <d v="2017-11-02T00:00:00"/>
    <s v="RB-19465"/>
    <s v="Rick Bensley"/>
    <s v="Chicago"/>
    <s v="Illinois"/>
    <x v="1"/>
    <x v="7"/>
    <n v="95.975999999999999"/>
  </r>
  <r>
    <s v="CA-2016-158568"/>
    <x v="3"/>
    <d v="2017-09-11T00:00:00"/>
    <d v="2017-11-11T00:00:00"/>
    <s v="RB-19465"/>
    <s v="Rick Bensley"/>
    <s v="Chicago"/>
    <s v="Illinois"/>
    <x v="1"/>
    <x v="10"/>
    <n v="1.788"/>
  </r>
  <r>
    <s v="US-2014-156216"/>
    <x v="3"/>
    <d v="2017-09-12T00:00:00"/>
    <d v="2017-11-12T00:00:00"/>
    <s v="EA-14035"/>
    <s v="Erin Ashbrook"/>
    <s v="Charlotte"/>
    <s v="North Carolina"/>
    <x v="3"/>
    <x v="10"/>
    <n v="18.648"/>
  </r>
  <r>
    <s v="US-2014-100853"/>
    <x v="3"/>
    <d v="2017-09-12T00:00:00"/>
    <d v="2017-11-12T00:00:00"/>
    <s v="JB-15400"/>
    <s v="Jennifer Braxton"/>
    <s v="Chicago"/>
    <s v="Illinois"/>
    <x v="1"/>
    <x v="2"/>
    <n v="52.448"/>
  </r>
  <r>
    <s v="US-2014-100853"/>
    <x v="3"/>
    <d v="2017-09-12T00:00:00"/>
    <d v="2017-11-12T00:00:00"/>
    <s v="JB-15400"/>
    <s v="Jennifer Braxton"/>
    <s v="Chicago"/>
    <s v="Illinois"/>
    <x v="1"/>
    <x v="11"/>
    <n v="20.16"/>
  </r>
  <r>
    <s v="CA-2017-114440"/>
    <x v="3"/>
    <d v="2017-09-12T00:00:00"/>
    <d v="2017-11-13T00:00:00"/>
    <s v="TB-21520"/>
    <s v="Tracy Blumstein"/>
    <s v="Jackson"/>
    <s v="Michigan"/>
    <x v="1"/>
    <x v="3"/>
    <n v="19.05"/>
  </r>
  <r>
    <s v="US-2015-150630"/>
    <x v="3"/>
    <d v="2017-09-14T00:00:00"/>
    <d v="2017-11-16T00:00:00"/>
    <s v="TB-21520"/>
    <s v="Tracy Blumstein"/>
    <s v="Philadelphia"/>
    <s v="Pennsylvania"/>
    <x v="2"/>
    <x v="12"/>
    <n v="3083.43"/>
  </r>
  <r>
    <s v="US-2015-150630"/>
    <x v="3"/>
    <d v="2017-09-18T00:00:00"/>
    <d v="2017-11-16T00:00:00"/>
    <s v="TB-21520"/>
    <s v="Tracy Blumstein"/>
    <s v="Philadelphia"/>
    <s v="Pennsylvania"/>
    <x v="2"/>
    <x v="10"/>
    <n v="9.6180000000000003"/>
  </r>
  <r>
    <s v="US-2015-150630"/>
    <x v="3"/>
    <d v="2017-09-18T00:00:00"/>
    <d v="2017-11-28T00:00:00"/>
    <s v="TB-21520"/>
    <s v="Tracy Blumstein"/>
    <s v="Philadelphia"/>
    <s v="Pennsylvania"/>
    <x v="2"/>
    <x v="9"/>
    <n v="124.2"/>
  </r>
  <r>
    <s v="US-2015-150630"/>
    <x v="3"/>
    <d v="2017-09-18T00:00:00"/>
    <d v="2017-11-28T00:00:00"/>
    <s v="TB-21520"/>
    <s v="Tracy Blumstein"/>
    <s v="Philadelphia"/>
    <s v="Pennsylvania"/>
    <x v="2"/>
    <x v="13"/>
    <n v="3.2639999999999998"/>
  </r>
  <r>
    <s v="US-2015-150630"/>
    <x v="3"/>
    <d v="2017-09-19T00:00:00"/>
    <d v="2017-11-28T00:00:00"/>
    <s v="TB-21520"/>
    <s v="Tracy Blumstein"/>
    <s v="Philadelphia"/>
    <s v="Pennsylvania"/>
    <x v="2"/>
    <x v="4"/>
    <n v="86.304000000000002"/>
  </r>
  <r>
    <s v="US-2015-150630"/>
    <x v="3"/>
    <d v="2017-10-09T00:00:00"/>
    <d v="2017-12-07T00:00:00"/>
    <s v="TB-21520"/>
    <s v="Tracy Blumstein"/>
    <s v="Philadelphia"/>
    <s v="Pennsylvania"/>
    <x v="2"/>
    <x v="10"/>
    <n v="6.8579999999999997"/>
  </r>
  <r>
    <s v="US-2015-150630"/>
    <x v="3"/>
    <d v="2017-10-19T00:00:00"/>
    <d v="2017-12-07T00:00:00"/>
    <s v="TB-21520"/>
    <s v="Tracy Blumstein"/>
    <s v="Philadelphia"/>
    <s v="Pennsylvania"/>
    <x v="2"/>
    <x v="4"/>
    <n v="15.76"/>
  </r>
  <r>
    <s v="CA-2016-109806"/>
    <x v="3"/>
    <d v="2017-10-26T00:00:00"/>
    <d v="2017-12-07T00:00:00"/>
    <s v="JS-15685"/>
    <s v="Jim Sink"/>
    <s v="Los Angeles"/>
    <s v="California"/>
    <x v="0"/>
    <x v="4"/>
    <n v="20.100000000000001"/>
  </r>
  <r>
    <s v="CA-2016-109806"/>
    <x v="3"/>
    <d v="2017-10-26T00:00:00"/>
    <d v="2017-12-07T00:00:00"/>
    <s v="JS-15685"/>
    <s v="Jim Sink"/>
    <s v="Los Angeles"/>
    <s v="California"/>
    <x v="0"/>
    <x v="5"/>
    <n v="73.584000000000003"/>
  </r>
  <r>
    <s v="CA-2016-109806"/>
    <x v="3"/>
    <d v="2017-11-13T00:00:00"/>
    <d v="2017-12-07T00:00:00"/>
    <s v="JS-15685"/>
    <s v="Jim Sink"/>
    <s v="Los Angeles"/>
    <s v="California"/>
    <x v="0"/>
    <x v="3"/>
    <n v="6.48"/>
  </r>
  <r>
    <s v="CA-2016-106075"/>
    <x v="3"/>
    <d v="2017-11-23T00:00:00"/>
    <d v="2017-12-11T00:00:00"/>
    <s v="HM-14980"/>
    <s v="Henry MacAllister"/>
    <s v="New York City"/>
    <s v="New York"/>
    <x v="2"/>
    <x v="10"/>
    <n v="4.6159999999999997"/>
  </r>
  <r>
    <s v="CA-2017-106180"/>
    <x v="3"/>
    <d v="2017-11-23T00:00:00"/>
    <d v="2017-12-11T00:00:00"/>
    <s v="SH-19975"/>
    <s v="Sally Hughsby"/>
    <s v="San Francisco"/>
    <s v="California"/>
    <x v="0"/>
    <x v="4"/>
    <n v="8.82"/>
  </r>
  <r>
    <s v="CA-2017-106180"/>
    <x v="3"/>
    <d v="2017-11-23T00:00:00"/>
    <d v="2017-12-11T00:00:00"/>
    <s v="SH-19975"/>
    <s v="Sally Hughsby"/>
    <s v="San Francisco"/>
    <s v="California"/>
    <x v="0"/>
    <x v="13"/>
    <n v="10.86"/>
  </r>
  <r>
    <s v="CA-2017-106180"/>
    <x v="3"/>
    <d v="2017-12-11T00:00:00"/>
    <d v="2017-12-14T00:00:00"/>
    <s v="SH-19975"/>
    <s v="Sally Hughsby"/>
    <s v="San Francisco"/>
    <s v="California"/>
    <x v="0"/>
    <x v="3"/>
    <n v="143.69999999999999"/>
  </r>
  <r>
    <s v="CA-2017-139619"/>
    <x v="3"/>
    <d v="2017-12-17T00:00:00"/>
    <d v="2017-12-21T00:00:00"/>
    <s v="ES-14080"/>
    <s v="Erin Smith"/>
    <s v="Melbourne"/>
    <s v="Florida"/>
    <x v="3"/>
    <x v="6"/>
    <n v="95.616"/>
  </r>
  <r>
    <s v="US-2014-134614"/>
    <x v="3"/>
    <d v="2017-12-22T00:00:00"/>
    <d v="2017-12-27T00:00:00"/>
    <s v="PF-19165"/>
    <s v="Philip Fox"/>
    <s v="Bloomington"/>
    <s v="Illinois"/>
    <x v="1"/>
    <x v="1"/>
    <n v="617.70000000000005"/>
  </r>
  <r>
    <s v="CA-2015-106320"/>
    <x v="3"/>
    <d v="2017-12-25T00:00:00"/>
    <d v="2017-12-30T00:00:00"/>
    <s v="EB-13870"/>
    <s v="Emily Burns"/>
    <s v="Orem"/>
    <s v="Utah"/>
    <x v="0"/>
    <x v="1"/>
    <n v="1044.63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F616F-3E85-4E10-A876-6DD7B359B8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12" firstHeaderRow="0" firstDataRow="1" firstDataCol="1"/>
  <pivotFields count="14">
    <pivotField showAll="0"/>
    <pivotField showAll="0">
      <items count="5">
        <item x="0"/>
        <item x="1"/>
        <item x="2"/>
        <item x="3"/>
        <item t="default"/>
      </items>
    </pivotField>
    <pivotField numFmtId="14" showAll="0">
      <items count="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showAll="0"/>
    <pivotField showAll="0">
      <items count="109">
        <item x="81"/>
        <item x="75"/>
        <item x="85"/>
        <item x="92"/>
        <item x="6"/>
        <item x="5"/>
        <item x="3"/>
        <item x="1"/>
        <item x="80"/>
        <item x="29"/>
        <item x="19"/>
        <item x="2"/>
        <item x="45"/>
        <item x="74"/>
        <item x="0"/>
        <item x="50"/>
        <item x="10"/>
        <item x="4"/>
        <item x="8"/>
        <item x="82"/>
        <item x="15"/>
        <item x="35"/>
        <item x="39"/>
        <item x="99"/>
        <item x="107"/>
        <item x="51"/>
        <item x="77"/>
        <item x="26"/>
        <item x="105"/>
        <item x="42"/>
        <item x="96"/>
        <item x="12"/>
        <item x="30"/>
        <item x="22"/>
        <item x="18"/>
        <item x="13"/>
        <item x="40"/>
        <item x="103"/>
        <item x="66"/>
        <item x="24"/>
        <item x="100"/>
        <item x="73"/>
        <item x="11"/>
        <item x="23"/>
        <item x="65"/>
        <item x="25"/>
        <item x="59"/>
        <item x="38"/>
        <item x="70"/>
        <item x="67"/>
        <item x="34"/>
        <item x="102"/>
        <item x="52"/>
        <item x="31"/>
        <item x="47"/>
        <item x="20"/>
        <item x="89"/>
        <item x="21"/>
        <item x="68"/>
        <item x="61"/>
        <item x="53"/>
        <item x="49"/>
        <item x="71"/>
        <item x="48"/>
        <item x="90"/>
        <item x="27"/>
        <item x="55"/>
        <item x="91"/>
        <item x="57"/>
        <item x="28"/>
        <item x="17"/>
        <item x="14"/>
        <item x="60"/>
        <item x="86"/>
        <item x="64"/>
        <item x="32"/>
        <item x="54"/>
        <item x="106"/>
        <item x="58"/>
        <item x="7"/>
        <item x="46"/>
        <item x="56"/>
        <item x="84"/>
        <item x="94"/>
        <item x="98"/>
        <item x="43"/>
        <item x="95"/>
        <item x="62"/>
        <item x="63"/>
        <item x="37"/>
        <item x="36"/>
        <item x="93"/>
        <item x="72"/>
        <item x="104"/>
        <item x="83"/>
        <item x="69"/>
        <item x="76"/>
        <item x="16"/>
        <item x="87"/>
        <item x="88"/>
        <item x="101"/>
        <item x="41"/>
        <item x="33"/>
        <item x="79"/>
        <item x="78"/>
        <item x="44"/>
        <item x="9"/>
        <item x="97"/>
        <item t="default"/>
      </items>
    </pivotField>
    <pivotField axis="axisRow" showAll="0">
      <items count="109">
        <item x="75"/>
        <item x="85"/>
        <item x="92"/>
        <item x="81"/>
        <item x="5"/>
        <item x="3"/>
        <item x="6"/>
        <item x="1"/>
        <item x="80"/>
        <item x="2"/>
        <item x="45"/>
        <item x="29"/>
        <item x="19"/>
        <item x="74"/>
        <item x="82"/>
        <item x="35"/>
        <item x="0"/>
        <item x="10"/>
        <item x="50"/>
        <item x="4"/>
        <item x="15"/>
        <item x="39"/>
        <item x="8"/>
        <item x="26"/>
        <item x="107"/>
        <item x="51"/>
        <item x="77"/>
        <item x="99"/>
        <item x="105"/>
        <item x="96"/>
        <item x="42"/>
        <item x="22"/>
        <item x="18"/>
        <item x="30"/>
        <item x="12"/>
        <item x="66"/>
        <item x="40"/>
        <item x="13"/>
        <item x="103"/>
        <item x="24"/>
        <item x="67"/>
        <item x="34"/>
        <item x="100"/>
        <item x="70"/>
        <item x="102"/>
        <item x="65"/>
        <item x="23"/>
        <item x="59"/>
        <item x="73"/>
        <item x="38"/>
        <item x="11"/>
        <item x="25"/>
        <item x="20"/>
        <item x="52"/>
        <item x="89"/>
        <item x="31"/>
        <item x="47"/>
        <item x="21"/>
        <item x="68"/>
        <item x="48"/>
        <item x="61"/>
        <item x="53"/>
        <item x="90"/>
        <item x="49"/>
        <item x="27"/>
        <item x="71"/>
        <item x="91"/>
        <item x="17"/>
        <item x="60"/>
        <item x="55"/>
        <item x="57"/>
        <item x="28"/>
        <item x="14"/>
        <item x="86"/>
        <item x="64"/>
        <item x="32"/>
        <item x="46"/>
        <item x="56"/>
        <item x="58"/>
        <item x="84"/>
        <item x="54"/>
        <item x="7"/>
        <item x="106"/>
        <item x="98"/>
        <item x="63"/>
        <item x="43"/>
        <item x="94"/>
        <item x="62"/>
        <item x="95"/>
        <item x="104"/>
        <item x="69"/>
        <item x="93"/>
        <item x="72"/>
        <item x="16"/>
        <item x="83"/>
        <item x="87"/>
        <item x="76"/>
        <item x="37"/>
        <item x="36"/>
        <item x="79"/>
        <item x="88"/>
        <item x="33"/>
        <item x="101"/>
        <item x="41"/>
        <item x="78"/>
        <item x="44"/>
        <item x="9"/>
        <item x="97"/>
        <item t="default"/>
      </items>
    </pivotField>
    <pivotField showAll="0">
      <items count="70">
        <item x="63"/>
        <item x="44"/>
        <item x="67"/>
        <item x="10"/>
        <item x="45"/>
        <item x="49"/>
        <item x="19"/>
        <item x="53"/>
        <item x="30"/>
        <item x="56"/>
        <item x="12"/>
        <item x="4"/>
        <item x="1"/>
        <item x="13"/>
        <item x="62"/>
        <item x="52"/>
        <item x="9"/>
        <item x="27"/>
        <item x="47"/>
        <item x="50"/>
        <item x="14"/>
        <item x="48"/>
        <item x="22"/>
        <item x="26"/>
        <item x="3"/>
        <item x="64"/>
        <item x="55"/>
        <item x="24"/>
        <item x="20"/>
        <item x="51"/>
        <item x="65"/>
        <item x="2"/>
        <item x="6"/>
        <item x="8"/>
        <item x="66"/>
        <item x="58"/>
        <item x="38"/>
        <item x="46"/>
        <item x="36"/>
        <item x="57"/>
        <item x="15"/>
        <item x="42"/>
        <item x="68"/>
        <item x="40"/>
        <item x="11"/>
        <item x="21"/>
        <item x="31"/>
        <item x="32"/>
        <item x="43"/>
        <item x="25"/>
        <item x="16"/>
        <item x="39"/>
        <item x="29"/>
        <item x="23"/>
        <item x="5"/>
        <item x="7"/>
        <item x="60"/>
        <item x="37"/>
        <item x="54"/>
        <item x="0"/>
        <item x="18"/>
        <item x="34"/>
        <item x="61"/>
        <item x="17"/>
        <item x="59"/>
        <item x="33"/>
        <item x="41"/>
        <item x="35"/>
        <item x="28"/>
        <item t="default"/>
      </items>
    </pivotField>
    <pivotField showAll="0"/>
    <pivotField showAll="0">
      <items count="5">
        <item x="1"/>
        <item x="2"/>
        <item x="3"/>
        <item x="0"/>
        <item t="default"/>
      </items>
    </pivotField>
    <pivotField showAll="0">
      <items count="17">
        <item x="7"/>
        <item x="2"/>
        <item x="4"/>
        <item x="10"/>
        <item x="12"/>
        <item x="0"/>
        <item x="13"/>
        <item x="14"/>
        <item x="9"/>
        <item x="11"/>
        <item x="8"/>
        <item x="3"/>
        <item x="5"/>
        <item x="6"/>
        <item x="15"/>
        <item x="1"/>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5"/>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2"/>
  </colFields>
  <colItems count="2">
    <i>
      <x/>
    </i>
    <i i="1">
      <x v="1"/>
    </i>
  </colItems>
  <dataFields count="2">
    <dataField name="Sum of Sales" fld="10" baseField="0" baseItem="0"/>
    <dataField name="Count of Sales2" fld="10" subtotal="count" baseField="5"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798883-7DFD-4CDF-A3C9-A4FEDFF7219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8" firstHeaderRow="1" firstDataRow="1" firstDataCol="1"/>
  <pivotFields count="11">
    <pivotField showAll="0"/>
    <pivotField showAll="0">
      <items count="5">
        <item h="1" x="0"/>
        <item h="1" x="1"/>
        <item h="1" x="2"/>
        <item x="3"/>
        <item t="default"/>
      </items>
    </pivotField>
    <pivotField numFmtId="14" showAll="0"/>
    <pivotField numFmtId="14" showAll="0"/>
    <pivotField showAll="0"/>
    <pivotField showAll="0"/>
    <pivotField showAll="0"/>
    <pivotField showAll="0"/>
    <pivotField showAll="0"/>
    <pivotField axis="axisRow" showAll="0">
      <items count="17">
        <item x="7"/>
        <item x="2"/>
        <item x="4"/>
        <item x="10"/>
        <item x="12"/>
        <item x="0"/>
        <item x="13"/>
        <item x="14"/>
        <item x="9"/>
        <item x="11"/>
        <item x="8"/>
        <item x="3"/>
        <item x="5"/>
        <item x="6"/>
        <item x="15"/>
        <item x="1"/>
        <item t="default"/>
      </items>
    </pivotField>
    <pivotField dataField="1" showAll="0"/>
  </pivotFields>
  <rowFields count="1">
    <field x="9"/>
  </rowFields>
  <rowItems count="15">
    <i>
      <x/>
    </i>
    <i>
      <x v="1"/>
    </i>
    <i>
      <x v="2"/>
    </i>
    <i>
      <x v="3"/>
    </i>
    <i>
      <x v="4"/>
    </i>
    <i>
      <x v="5"/>
    </i>
    <i>
      <x v="6"/>
    </i>
    <i>
      <x v="7"/>
    </i>
    <i>
      <x v="8"/>
    </i>
    <i>
      <x v="9"/>
    </i>
    <i>
      <x v="11"/>
    </i>
    <i>
      <x v="12"/>
    </i>
    <i>
      <x v="13"/>
    </i>
    <i>
      <x v="15"/>
    </i>
    <i t="grand">
      <x/>
    </i>
  </rowItems>
  <colItems count="1">
    <i/>
  </colItems>
  <dataFields count="1">
    <dataField name="Sum of Sales"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0DB375-44F9-4238-AFDD-AAC64B80F5F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8" firstHeaderRow="1" firstDataRow="1" firstDataCol="1"/>
  <pivotFields count="11">
    <pivotField showAll="0"/>
    <pivotField showAll="0">
      <items count="5">
        <item h="1" x="0"/>
        <item h="1" x="1"/>
        <item h="1" x="2"/>
        <item x="3"/>
        <item t="default"/>
      </items>
    </pivotField>
    <pivotField numFmtId="14" showAll="0"/>
    <pivotField numFmtId="14" showAll="0"/>
    <pivotField showAll="0"/>
    <pivotField showAll="0"/>
    <pivotField showAll="0"/>
    <pivotField showAll="0"/>
    <pivotField axis="axisRow" showAll="0">
      <items count="5">
        <item x="1"/>
        <item x="2"/>
        <item x="3"/>
        <item x="0"/>
        <item t="default"/>
      </items>
    </pivotField>
    <pivotField showAll="0"/>
    <pivotField dataField="1" showAll="0"/>
  </pivotFields>
  <rowFields count="1">
    <field x="8"/>
  </rowFields>
  <rowItems count="5">
    <i>
      <x/>
    </i>
    <i>
      <x v="1"/>
    </i>
    <i>
      <x v="2"/>
    </i>
    <i>
      <x v="3"/>
    </i>
    <i t="grand">
      <x/>
    </i>
  </rowItems>
  <colItems count="1">
    <i/>
  </colItems>
  <dataFields count="1">
    <dataField name="Sum of Sales" fld="10"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2" format="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0B6DA3-D712-4D12-A121-04B6C0BC40C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1">
    <pivotField showAll="0"/>
    <pivotField axis="axisRow" showAll="0">
      <items count="5">
        <item h="1" x="0"/>
        <item h="1" x="1"/>
        <item h="1" x="2"/>
        <item x="3"/>
        <item t="default"/>
      </items>
    </pivotField>
    <pivotField numFmtId="14" showAll="0"/>
    <pivotField numFmtId="14" showAll="0"/>
    <pivotField showAll="0"/>
    <pivotField showAll="0"/>
    <pivotField showAll="0"/>
    <pivotField showAll="0"/>
    <pivotField showAll="0"/>
    <pivotField showAll="0"/>
    <pivotField dataField="1" showAll="0"/>
  </pivotFields>
  <rowFields count="1">
    <field x="1"/>
  </rowFields>
  <rowItems count="2">
    <i>
      <x v="3"/>
    </i>
    <i t="grand">
      <x/>
    </i>
  </rowItems>
  <colItems count="1">
    <i/>
  </colItems>
  <dataFields count="1">
    <dataField name="Sum of Sales" fld="10"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CCA47571-9FC2-460F-909E-40A023EAC5A9}" sourceName="Customer Name">
  <pivotTables>
    <pivotTable tabId="15" name="PivotTable2"/>
  </pivotTables>
  <data>
    <tabular pivotCacheId="277439297">
      <items count="108">
        <i x="75" s="1"/>
        <i x="85" s="1"/>
        <i x="92" s="1"/>
        <i x="81" s="1"/>
        <i x="5" s="1"/>
        <i x="3" s="1"/>
        <i x="6" s="1"/>
        <i x="1" s="1"/>
        <i x="80" s="1"/>
        <i x="2" s="1"/>
        <i x="45" s="1"/>
        <i x="29" s="1"/>
        <i x="19" s="1"/>
        <i x="74" s="1"/>
        <i x="82" s="1"/>
        <i x="35" s="1"/>
        <i x="0" s="1"/>
        <i x="10" s="1"/>
        <i x="50" s="1"/>
        <i x="4" s="1"/>
        <i x="15" s="1"/>
        <i x="39" s="1"/>
        <i x="8" s="1"/>
        <i x="26" s="1"/>
        <i x="107" s="1"/>
        <i x="51" s="1"/>
        <i x="77" s="1"/>
        <i x="99" s="1"/>
        <i x="105" s="1"/>
        <i x="96" s="1"/>
        <i x="42" s="1"/>
        <i x="22" s="1"/>
        <i x="18" s="1"/>
        <i x="30" s="1"/>
        <i x="12" s="1"/>
        <i x="66" s="1"/>
        <i x="40" s="1"/>
        <i x="13" s="1"/>
        <i x="103" s="1"/>
        <i x="24" s="1"/>
        <i x="67" s="1"/>
        <i x="34" s="1"/>
        <i x="100" s="1"/>
        <i x="70" s="1"/>
        <i x="102" s="1"/>
        <i x="65" s="1"/>
        <i x="23" s="1"/>
        <i x="59" s="1"/>
        <i x="73" s="1"/>
        <i x="38" s="1"/>
        <i x="11" s="1"/>
        <i x="25" s="1"/>
        <i x="20" s="1"/>
        <i x="52" s="1"/>
        <i x="89" s="1"/>
        <i x="31" s="1"/>
        <i x="47" s="1"/>
        <i x="21" s="1"/>
        <i x="68" s="1"/>
        <i x="48" s="1"/>
        <i x="61" s="1"/>
        <i x="53" s="1"/>
        <i x="90" s="1"/>
        <i x="49" s="1"/>
        <i x="27" s="1"/>
        <i x="71" s="1"/>
        <i x="91" s="1"/>
        <i x="17" s="1"/>
        <i x="60" s="1"/>
        <i x="55" s="1"/>
        <i x="57" s="1"/>
        <i x="28" s="1"/>
        <i x="14" s="1"/>
        <i x="86" s="1"/>
        <i x="64" s="1"/>
        <i x="32" s="1"/>
        <i x="46" s="1"/>
        <i x="56" s="1"/>
        <i x="58" s="1"/>
        <i x="84" s="1"/>
        <i x="54" s="1"/>
        <i x="7" s="1"/>
        <i x="106" s="1"/>
        <i x="98" s="1"/>
        <i x="63" s="1"/>
        <i x="43" s="1"/>
        <i x="94" s="1"/>
        <i x="62" s="1"/>
        <i x="95" s="1"/>
        <i x="104" s="1"/>
        <i x="69" s="1"/>
        <i x="93" s="1"/>
        <i x="72" s="1"/>
        <i x="16" s="1"/>
        <i x="83" s="1"/>
        <i x="87" s="1"/>
        <i x="76" s="1"/>
        <i x="37" s="1"/>
        <i x="36" s="1"/>
        <i x="79" s="1"/>
        <i x="88" s="1"/>
        <i x="33" s="1"/>
        <i x="101" s="1"/>
        <i x="41" s="1"/>
        <i x="78" s="1"/>
        <i x="44" s="1"/>
        <i x="9" s="1"/>
        <i x="9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1F5CEF4-6A33-4929-9366-5F40DC200188}" sourceName="Year">
  <pivotTables>
    <pivotTable tabId="24" name="PivotTable1"/>
    <pivotTable tabId="24" name="PivotTable2"/>
    <pivotTable tabId="24" name="PivotTable3"/>
  </pivotTables>
  <data>
    <tabular pivotCacheId="299675414">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30646DA6-BA43-4D7D-AA38-1F33C913A05B}" cache="Slicer_Customer_Name" caption="Customer Name" columnCoun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C3B940C-64A8-4C8E-8066-B8FE43848F1D}" cache="Slicer_Year" caption="Yea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9970A-8729-4C90-AC02-571375948AE1}">
  <dimension ref="A3:C112"/>
  <sheetViews>
    <sheetView workbookViewId="0">
      <selection activeCell="T2" sqref="T2"/>
    </sheetView>
  </sheetViews>
  <sheetFormatPr defaultRowHeight="14.4" x14ac:dyDescent="0.3"/>
  <cols>
    <col min="1" max="1" width="17.33203125" bestFit="1" customWidth="1"/>
    <col min="2" max="2" width="11.6640625" bestFit="1" customWidth="1"/>
    <col min="3" max="3" width="14.109375" bestFit="1" customWidth="1"/>
  </cols>
  <sheetData>
    <row r="3" spans="1:3" x14ac:dyDescent="0.3">
      <c r="A3" s="1" t="s">
        <v>459</v>
      </c>
      <c r="B3" t="s">
        <v>461</v>
      </c>
      <c r="C3" t="s">
        <v>463</v>
      </c>
    </row>
    <row r="4" spans="1:3" x14ac:dyDescent="0.3">
      <c r="A4" s="2" t="s">
        <v>270</v>
      </c>
      <c r="B4">
        <v>600.55799999999999</v>
      </c>
      <c r="C4">
        <v>1</v>
      </c>
    </row>
    <row r="5" spans="1:3" x14ac:dyDescent="0.3">
      <c r="A5" s="2" t="s">
        <v>64</v>
      </c>
      <c r="B5">
        <v>55.5</v>
      </c>
      <c r="C5">
        <v>1</v>
      </c>
    </row>
    <row r="6" spans="1:3" x14ac:dyDescent="0.3">
      <c r="A6" s="2" t="s">
        <v>382</v>
      </c>
      <c r="B6">
        <v>57.239999999999995</v>
      </c>
      <c r="C6">
        <v>2</v>
      </c>
    </row>
    <row r="7" spans="1:3" x14ac:dyDescent="0.3">
      <c r="A7" s="2" t="s">
        <v>42</v>
      </c>
      <c r="B7">
        <v>15.552</v>
      </c>
      <c r="C7">
        <v>1</v>
      </c>
    </row>
    <row r="8" spans="1:3" x14ac:dyDescent="0.3">
      <c r="A8" s="2" t="s">
        <v>348</v>
      </c>
      <c r="B8">
        <v>10539.896000000001</v>
      </c>
      <c r="C8">
        <v>7</v>
      </c>
    </row>
    <row r="9" spans="1:3" x14ac:dyDescent="0.3">
      <c r="A9" s="2" t="s">
        <v>156</v>
      </c>
      <c r="B9">
        <v>1280.992</v>
      </c>
      <c r="C9">
        <v>2</v>
      </c>
    </row>
    <row r="10" spans="1:3" x14ac:dyDescent="0.3">
      <c r="A10" s="2" t="s">
        <v>34</v>
      </c>
      <c r="B10">
        <v>3714.3040000000001</v>
      </c>
      <c r="C10">
        <v>7</v>
      </c>
    </row>
    <row r="11" spans="1:3" x14ac:dyDescent="0.3">
      <c r="A11" s="2" t="s">
        <v>409</v>
      </c>
      <c r="B11">
        <v>221.35</v>
      </c>
      <c r="C11">
        <v>2</v>
      </c>
    </row>
    <row r="12" spans="1:3" x14ac:dyDescent="0.3">
      <c r="A12" s="2" t="s">
        <v>393</v>
      </c>
      <c r="B12">
        <v>13.456</v>
      </c>
      <c r="C12">
        <v>2</v>
      </c>
    </row>
    <row r="13" spans="1:3" x14ac:dyDescent="0.3">
      <c r="A13" s="2" t="s">
        <v>353</v>
      </c>
      <c r="B13">
        <v>472.04399999999998</v>
      </c>
      <c r="C13">
        <v>3</v>
      </c>
    </row>
    <row r="14" spans="1:3" x14ac:dyDescent="0.3">
      <c r="A14" s="2" t="s">
        <v>192</v>
      </c>
      <c r="B14">
        <v>1966.2265</v>
      </c>
      <c r="C14">
        <v>6</v>
      </c>
    </row>
    <row r="15" spans="1:3" x14ac:dyDescent="0.3">
      <c r="A15" s="2" t="s">
        <v>12</v>
      </c>
      <c r="B15">
        <v>993.90000000000009</v>
      </c>
      <c r="C15">
        <v>2</v>
      </c>
    </row>
    <row r="16" spans="1:3" x14ac:dyDescent="0.3">
      <c r="A16" s="2" t="s">
        <v>249</v>
      </c>
      <c r="B16">
        <v>103.19999999999999</v>
      </c>
      <c r="C16">
        <v>2</v>
      </c>
    </row>
    <row r="17" spans="1:3" x14ac:dyDescent="0.3">
      <c r="A17" s="2" t="s">
        <v>246</v>
      </c>
      <c r="B17">
        <v>41.96</v>
      </c>
      <c r="C17">
        <v>1</v>
      </c>
    </row>
    <row r="18" spans="1:3" x14ac:dyDescent="0.3">
      <c r="A18" s="2" t="s">
        <v>134</v>
      </c>
      <c r="B18">
        <v>209.55</v>
      </c>
      <c r="C18">
        <v>4</v>
      </c>
    </row>
    <row r="19" spans="1:3" x14ac:dyDescent="0.3">
      <c r="A19" s="2" t="s">
        <v>20</v>
      </c>
      <c r="B19">
        <v>14.62</v>
      </c>
      <c r="C19">
        <v>1</v>
      </c>
    </row>
    <row r="20" spans="1:3" x14ac:dyDescent="0.3">
      <c r="A20" s="2" t="s">
        <v>326</v>
      </c>
      <c r="B20">
        <v>457.56799999999998</v>
      </c>
      <c r="C20">
        <v>1</v>
      </c>
    </row>
    <row r="21" spans="1:3" x14ac:dyDescent="0.3">
      <c r="A21" s="2" t="s">
        <v>259</v>
      </c>
      <c r="B21">
        <v>787.53</v>
      </c>
      <c r="C21">
        <v>1</v>
      </c>
    </row>
    <row r="22" spans="1:3" x14ac:dyDescent="0.3">
      <c r="A22" s="2" t="s">
        <v>454</v>
      </c>
      <c r="B22">
        <v>10.56</v>
      </c>
      <c r="C22">
        <v>1</v>
      </c>
    </row>
    <row r="23" spans="1:3" x14ac:dyDescent="0.3">
      <c r="A23" s="2" t="s">
        <v>366</v>
      </c>
      <c r="B23">
        <v>433.56</v>
      </c>
      <c r="C23">
        <v>2</v>
      </c>
    </row>
    <row r="24" spans="1:3" x14ac:dyDescent="0.3">
      <c r="A24" s="2" t="s">
        <v>442</v>
      </c>
      <c r="B24">
        <v>646.63000000000011</v>
      </c>
      <c r="C24">
        <v>3</v>
      </c>
    </row>
    <row r="25" spans="1:3" x14ac:dyDescent="0.3">
      <c r="A25" s="2" t="s">
        <v>284</v>
      </c>
      <c r="B25">
        <v>159.72999999999999</v>
      </c>
      <c r="C25">
        <v>3</v>
      </c>
    </row>
    <row r="26" spans="1:3" x14ac:dyDescent="0.3">
      <c r="A26" s="2" t="s">
        <v>185</v>
      </c>
      <c r="B26">
        <v>36.29</v>
      </c>
      <c r="C26">
        <v>2</v>
      </c>
    </row>
    <row r="27" spans="1:3" x14ac:dyDescent="0.3">
      <c r="A27" s="2" t="s">
        <v>223</v>
      </c>
      <c r="B27">
        <v>77.88</v>
      </c>
      <c r="C27">
        <v>1</v>
      </c>
    </row>
    <row r="28" spans="1:3" x14ac:dyDescent="0.3">
      <c r="A28" s="2" t="s">
        <v>84</v>
      </c>
      <c r="B28">
        <v>1044.6300000000001</v>
      </c>
      <c r="C28">
        <v>1</v>
      </c>
    </row>
    <row r="29" spans="1:3" x14ac:dyDescent="0.3">
      <c r="A29" s="2" t="s">
        <v>88</v>
      </c>
      <c r="B29">
        <v>102.21799999999999</v>
      </c>
      <c r="C29">
        <v>2</v>
      </c>
    </row>
    <row r="30" spans="1:3" x14ac:dyDescent="0.3">
      <c r="A30" s="2" t="s">
        <v>337</v>
      </c>
      <c r="B30">
        <v>54.384</v>
      </c>
      <c r="C30">
        <v>1</v>
      </c>
    </row>
    <row r="31" spans="1:3" x14ac:dyDescent="0.3">
      <c r="A31" s="2" t="s">
        <v>449</v>
      </c>
      <c r="B31">
        <v>18.648</v>
      </c>
      <c r="C31">
        <v>1</v>
      </c>
    </row>
    <row r="32" spans="1:3" x14ac:dyDescent="0.3">
      <c r="A32" s="2" t="s">
        <v>115</v>
      </c>
      <c r="B32">
        <v>95.616</v>
      </c>
      <c r="C32">
        <v>1</v>
      </c>
    </row>
    <row r="33" spans="1:3" x14ac:dyDescent="0.3">
      <c r="A33" s="2" t="s">
        <v>379</v>
      </c>
      <c r="B33">
        <v>176.8</v>
      </c>
      <c r="C33">
        <v>1</v>
      </c>
    </row>
    <row r="34" spans="1:3" x14ac:dyDescent="0.3">
      <c r="A34" s="2" t="s">
        <v>402</v>
      </c>
      <c r="B34">
        <v>19.002000000000002</v>
      </c>
      <c r="C34">
        <v>2</v>
      </c>
    </row>
    <row r="35" spans="1:3" x14ac:dyDescent="0.3">
      <c r="A35" s="2" t="s">
        <v>202</v>
      </c>
      <c r="B35">
        <v>158.36799999999999</v>
      </c>
      <c r="C35">
        <v>1</v>
      </c>
    </row>
    <row r="36" spans="1:3" x14ac:dyDescent="0.3">
      <c r="A36" s="2" t="s">
        <v>230</v>
      </c>
      <c r="B36">
        <v>23.92</v>
      </c>
      <c r="C36">
        <v>1</v>
      </c>
    </row>
    <row r="37" spans="1:3" x14ac:dyDescent="0.3">
      <c r="A37" s="2" t="s">
        <v>100</v>
      </c>
      <c r="B37">
        <v>1288.4640000000002</v>
      </c>
      <c r="C37">
        <v>2</v>
      </c>
    </row>
    <row r="38" spans="1:3" x14ac:dyDescent="0.3">
      <c r="A38" s="2" t="s">
        <v>262</v>
      </c>
      <c r="B38">
        <v>157.79400000000001</v>
      </c>
      <c r="C38">
        <v>1</v>
      </c>
    </row>
    <row r="39" spans="1:3" x14ac:dyDescent="0.3">
      <c r="A39" s="2" t="s">
        <v>53</v>
      </c>
      <c r="B39">
        <v>71.353999999999999</v>
      </c>
      <c r="C39">
        <v>2</v>
      </c>
    </row>
    <row r="40" spans="1:3" x14ac:dyDescent="0.3">
      <c r="A40" s="2" t="s">
        <v>417</v>
      </c>
      <c r="B40">
        <v>35.167999999999999</v>
      </c>
      <c r="C40">
        <v>1</v>
      </c>
    </row>
    <row r="41" spans="1:3" x14ac:dyDescent="0.3">
      <c r="A41" s="2" t="s">
        <v>303</v>
      </c>
      <c r="B41">
        <v>671.93</v>
      </c>
      <c r="C41">
        <v>1</v>
      </c>
    </row>
    <row r="42" spans="1:3" x14ac:dyDescent="0.3">
      <c r="A42" s="2" t="s">
        <v>166</v>
      </c>
      <c r="B42">
        <v>4.6159999999999997</v>
      </c>
      <c r="C42">
        <v>1</v>
      </c>
    </row>
    <row r="43" spans="1:3" x14ac:dyDescent="0.3">
      <c r="A43" s="2" t="s">
        <v>48</v>
      </c>
      <c r="B43">
        <v>407.976</v>
      </c>
      <c r="C43">
        <v>1</v>
      </c>
    </row>
    <row r="44" spans="1:3" x14ac:dyDescent="0.3">
      <c r="A44" s="2" t="s">
        <v>238</v>
      </c>
      <c r="B44">
        <v>105.408</v>
      </c>
      <c r="C44">
        <v>3</v>
      </c>
    </row>
    <row r="45" spans="1:3" x14ac:dyDescent="0.3">
      <c r="A45" s="2" t="s">
        <v>139</v>
      </c>
      <c r="B45">
        <v>1045.21</v>
      </c>
      <c r="C45">
        <v>2</v>
      </c>
    </row>
    <row r="46" spans="1:3" x14ac:dyDescent="0.3">
      <c r="A46" s="2" t="s">
        <v>356</v>
      </c>
      <c r="B46">
        <v>72.608000000000004</v>
      </c>
      <c r="C46">
        <v>2</v>
      </c>
    </row>
    <row r="47" spans="1:3" x14ac:dyDescent="0.3">
      <c r="A47" s="2" t="s">
        <v>363</v>
      </c>
      <c r="B47">
        <v>3.28</v>
      </c>
      <c r="C47">
        <v>1</v>
      </c>
    </row>
    <row r="48" spans="1:3" x14ac:dyDescent="0.3">
      <c r="A48" s="2" t="s">
        <v>205</v>
      </c>
      <c r="B48">
        <v>100.164</v>
      </c>
      <c r="C48">
        <v>3</v>
      </c>
    </row>
    <row r="49" spans="1:3" x14ac:dyDescent="0.3">
      <c r="A49" s="2" t="s">
        <v>171</v>
      </c>
      <c r="B49">
        <v>1433.7420000000002</v>
      </c>
      <c r="C49">
        <v>6</v>
      </c>
    </row>
    <row r="50" spans="1:3" x14ac:dyDescent="0.3">
      <c r="A50" s="2" t="s">
        <v>292</v>
      </c>
      <c r="B50">
        <v>82.8</v>
      </c>
      <c r="C50">
        <v>1</v>
      </c>
    </row>
    <row r="51" spans="1:3" x14ac:dyDescent="0.3">
      <c r="A51" s="2" t="s">
        <v>435</v>
      </c>
      <c r="B51">
        <v>395.43599999999998</v>
      </c>
      <c r="C51">
        <v>2</v>
      </c>
    </row>
    <row r="52" spans="1:3" x14ac:dyDescent="0.3">
      <c r="A52" s="2" t="s">
        <v>438</v>
      </c>
      <c r="B52">
        <v>627.92399999999998</v>
      </c>
      <c r="C52">
        <v>6</v>
      </c>
    </row>
    <row r="53" spans="1:3" x14ac:dyDescent="0.3">
      <c r="A53" s="2" t="s">
        <v>424</v>
      </c>
      <c r="B53">
        <v>376.09999999999997</v>
      </c>
      <c r="C53">
        <v>5</v>
      </c>
    </row>
    <row r="54" spans="1:3" x14ac:dyDescent="0.3">
      <c r="A54" s="2" t="s">
        <v>188</v>
      </c>
      <c r="B54">
        <v>200.98400000000001</v>
      </c>
      <c r="C54">
        <v>1</v>
      </c>
    </row>
    <row r="55" spans="1:3" x14ac:dyDescent="0.3">
      <c r="A55" s="2" t="s">
        <v>311</v>
      </c>
      <c r="B55">
        <v>2657.81</v>
      </c>
      <c r="C55">
        <v>4</v>
      </c>
    </row>
    <row r="56" spans="1:3" x14ac:dyDescent="0.3">
      <c r="A56" s="2" t="s">
        <v>161</v>
      </c>
      <c r="B56">
        <v>75.88</v>
      </c>
      <c r="C56">
        <v>1</v>
      </c>
    </row>
    <row r="57" spans="1:3" x14ac:dyDescent="0.3">
      <c r="A57" s="2" t="s">
        <v>208</v>
      </c>
      <c r="B57">
        <v>99.260000000000019</v>
      </c>
      <c r="C57">
        <v>3</v>
      </c>
    </row>
    <row r="58" spans="1:3" x14ac:dyDescent="0.3">
      <c r="A58" s="2" t="s">
        <v>220</v>
      </c>
      <c r="B58">
        <v>51.311999999999998</v>
      </c>
      <c r="C58">
        <v>1</v>
      </c>
    </row>
    <row r="59" spans="1:3" x14ac:dyDescent="0.3">
      <c r="A59" s="2" t="s">
        <v>73</v>
      </c>
      <c r="B59">
        <v>79.800000000000011</v>
      </c>
      <c r="C59">
        <v>2</v>
      </c>
    </row>
    <row r="60" spans="1:3" x14ac:dyDescent="0.3">
      <c r="A60" s="2" t="s">
        <v>176</v>
      </c>
      <c r="B60">
        <v>38.195999999999998</v>
      </c>
      <c r="C60">
        <v>3</v>
      </c>
    </row>
    <row r="61" spans="1:3" x14ac:dyDescent="0.3">
      <c r="A61" s="2" t="s">
        <v>458</v>
      </c>
      <c r="B61">
        <v>445.6</v>
      </c>
      <c r="C61">
        <v>2</v>
      </c>
    </row>
    <row r="62" spans="1:3" x14ac:dyDescent="0.3">
      <c r="A62" s="2" t="s">
        <v>149</v>
      </c>
      <c r="B62">
        <v>266.29399999999998</v>
      </c>
      <c r="C62">
        <v>4</v>
      </c>
    </row>
    <row r="63" spans="1:3" x14ac:dyDescent="0.3">
      <c r="A63" s="2" t="s">
        <v>420</v>
      </c>
      <c r="B63">
        <v>444.76799999999997</v>
      </c>
      <c r="C63">
        <v>1</v>
      </c>
    </row>
    <row r="64" spans="1:3" x14ac:dyDescent="0.3">
      <c r="A64" s="2" t="s">
        <v>233</v>
      </c>
      <c r="B64">
        <v>378.13799999999998</v>
      </c>
      <c r="C64">
        <v>3</v>
      </c>
    </row>
    <row r="65" spans="1:3" x14ac:dyDescent="0.3">
      <c r="A65" s="2" t="s">
        <v>287</v>
      </c>
      <c r="B65">
        <v>256.19599999999997</v>
      </c>
      <c r="C65">
        <v>7</v>
      </c>
    </row>
    <row r="66" spans="1:3" x14ac:dyDescent="0.3">
      <c r="A66" s="2" t="s">
        <v>129</v>
      </c>
      <c r="B66">
        <v>66.8</v>
      </c>
      <c r="C66">
        <v>2</v>
      </c>
    </row>
    <row r="67" spans="1:3" x14ac:dyDescent="0.3">
      <c r="A67" s="2" t="s">
        <v>107</v>
      </c>
      <c r="B67">
        <v>147.16800000000001</v>
      </c>
      <c r="C67">
        <v>1</v>
      </c>
    </row>
    <row r="68" spans="1:3" x14ac:dyDescent="0.3">
      <c r="A68" s="2" t="s">
        <v>281</v>
      </c>
      <c r="B68">
        <v>319.98400000000004</v>
      </c>
      <c r="C68">
        <v>2</v>
      </c>
    </row>
    <row r="69" spans="1:3" x14ac:dyDescent="0.3">
      <c r="A69" s="2" t="s">
        <v>413</v>
      </c>
      <c r="B69">
        <v>66.284000000000006</v>
      </c>
      <c r="C69">
        <v>1</v>
      </c>
    </row>
    <row r="70" spans="1:3" x14ac:dyDescent="0.3">
      <c r="A70" s="2" t="s">
        <v>405</v>
      </c>
      <c r="B70">
        <v>21.744</v>
      </c>
      <c r="C70">
        <v>1</v>
      </c>
    </row>
    <row r="71" spans="1:3" x14ac:dyDescent="0.3">
      <c r="A71" s="2" t="s">
        <v>386</v>
      </c>
      <c r="B71">
        <v>1668.9880000000001</v>
      </c>
      <c r="C71">
        <v>5</v>
      </c>
    </row>
    <row r="72" spans="1:3" x14ac:dyDescent="0.3">
      <c r="A72" s="2" t="s">
        <v>389</v>
      </c>
      <c r="B72">
        <v>14.28</v>
      </c>
      <c r="C72">
        <v>1</v>
      </c>
    </row>
    <row r="73" spans="1:3" x14ac:dyDescent="0.3">
      <c r="A73" s="2" t="s">
        <v>96</v>
      </c>
      <c r="B73">
        <v>29.472000000000001</v>
      </c>
      <c r="C73">
        <v>1</v>
      </c>
    </row>
    <row r="74" spans="1:3" x14ac:dyDescent="0.3">
      <c r="A74" s="2" t="s">
        <v>307</v>
      </c>
      <c r="B74">
        <v>93.888000000000005</v>
      </c>
      <c r="C74">
        <v>1</v>
      </c>
    </row>
    <row r="75" spans="1:3" x14ac:dyDescent="0.3">
      <c r="A75" s="2" t="s">
        <v>345</v>
      </c>
      <c r="B75">
        <v>27.68</v>
      </c>
      <c r="C75">
        <v>1</v>
      </c>
    </row>
    <row r="76" spans="1:3" x14ac:dyDescent="0.3">
      <c r="A76" s="2" t="s">
        <v>428</v>
      </c>
      <c r="B76">
        <v>20.8</v>
      </c>
      <c r="C76">
        <v>1</v>
      </c>
    </row>
    <row r="77" spans="1:3" x14ac:dyDescent="0.3">
      <c r="A77" s="2" t="s">
        <v>323</v>
      </c>
      <c r="B77">
        <v>6.63</v>
      </c>
      <c r="C77">
        <v>1</v>
      </c>
    </row>
    <row r="78" spans="1:3" x14ac:dyDescent="0.3">
      <c r="A78" s="2" t="s">
        <v>329</v>
      </c>
      <c r="B78">
        <v>959.55</v>
      </c>
      <c r="C78">
        <v>2</v>
      </c>
    </row>
    <row r="79" spans="1:3" x14ac:dyDescent="0.3">
      <c r="A79" s="2" t="s">
        <v>119</v>
      </c>
      <c r="B79">
        <v>63.44</v>
      </c>
      <c r="C79">
        <v>2</v>
      </c>
    </row>
    <row r="80" spans="1:3" x14ac:dyDescent="0.3">
      <c r="A80" s="2" t="s">
        <v>217</v>
      </c>
      <c r="B80">
        <v>96.53</v>
      </c>
      <c r="C80">
        <v>1</v>
      </c>
    </row>
    <row r="81" spans="1:3" x14ac:dyDescent="0.3">
      <c r="A81" s="2" t="s">
        <v>124</v>
      </c>
      <c r="B81">
        <v>513.91999999999996</v>
      </c>
      <c r="C81">
        <v>2</v>
      </c>
    </row>
    <row r="82" spans="1:3" x14ac:dyDescent="0.3">
      <c r="A82" s="2" t="s">
        <v>198</v>
      </c>
      <c r="B82">
        <v>26.15</v>
      </c>
      <c r="C82">
        <v>2</v>
      </c>
    </row>
    <row r="83" spans="1:3" x14ac:dyDescent="0.3">
      <c r="A83" s="2" t="s">
        <v>152</v>
      </c>
      <c r="B83">
        <v>213.11500000000001</v>
      </c>
      <c r="C83">
        <v>1</v>
      </c>
    </row>
    <row r="84" spans="1:3" x14ac:dyDescent="0.3">
      <c r="A84" s="2" t="s">
        <v>242</v>
      </c>
      <c r="B84">
        <v>339.96</v>
      </c>
      <c r="C84">
        <v>1</v>
      </c>
    </row>
    <row r="85" spans="1:3" x14ac:dyDescent="0.3">
      <c r="A85" s="2" t="s">
        <v>59</v>
      </c>
      <c r="B85">
        <v>665.88</v>
      </c>
      <c r="C85">
        <v>1</v>
      </c>
    </row>
    <row r="86" spans="1:3" x14ac:dyDescent="0.3">
      <c r="A86" s="2" t="s">
        <v>273</v>
      </c>
      <c r="B86">
        <v>617.70000000000005</v>
      </c>
      <c r="C86">
        <v>1</v>
      </c>
    </row>
    <row r="87" spans="1:3" x14ac:dyDescent="0.3">
      <c r="A87" s="2" t="s">
        <v>227</v>
      </c>
      <c r="B87">
        <v>162.38800000000001</v>
      </c>
      <c r="C87">
        <v>3</v>
      </c>
    </row>
    <row r="88" spans="1:3" x14ac:dyDescent="0.3">
      <c r="A88" s="2" t="s">
        <v>369</v>
      </c>
      <c r="B88">
        <v>682.91</v>
      </c>
      <c r="C88">
        <v>3</v>
      </c>
    </row>
    <row r="89" spans="1:3" x14ac:dyDescent="0.3">
      <c r="A89" s="2" t="s">
        <v>212</v>
      </c>
      <c r="B89">
        <v>5.6820000000000004</v>
      </c>
      <c r="C89">
        <v>1</v>
      </c>
    </row>
    <row r="90" spans="1:3" x14ac:dyDescent="0.3">
      <c r="A90" s="2" t="s">
        <v>112</v>
      </c>
      <c r="B90">
        <v>77.88</v>
      </c>
      <c r="C90">
        <v>1</v>
      </c>
    </row>
    <row r="91" spans="1:3" x14ac:dyDescent="0.3">
      <c r="A91" s="2" t="s">
        <v>340</v>
      </c>
      <c r="B91">
        <v>28.4</v>
      </c>
      <c r="C91">
        <v>1</v>
      </c>
    </row>
    <row r="92" spans="1:3" x14ac:dyDescent="0.3">
      <c r="A92" s="2" t="s">
        <v>254</v>
      </c>
      <c r="B92">
        <v>199.256</v>
      </c>
      <c r="C92">
        <v>4</v>
      </c>
    </row>
    <row r="93" spans="1:3" x14ac:dyDescent="0.3">
      <c r="A93" s="2" t="s">
        <v>295</v>
      </c>
      <c r="B93">
        <v>163.38</v>
      </c>
      <c r="C93">
        <v>3</v>
      </c>
    </row>
    <row r="94" spans="1:3" x14ac:dyDescent="0.3">
      <c r="A94" s="2" t="s">
        <v>374</v>
      </c>
      <c r="B94">
        <v>7.16</v>
      </c>
      <c r="C94">
        <v>1</v>
      </c>
    </row>
    <row r="95" spans="1:3" x14ac:dyDescent="0.3">
      <c r="A95" s="2" t="s">
        <v>78</v>
      </c>
      <c r="B95">
        <v>71.372</v>
      </c>
      <c r="C95">
        <v>1</v>
      </c>
    </row>
    <row r="96" spans="1:3" x14ac:dyDescent="0.3">
      <c r="A96" s="2" t="s">
        <v>298</v>
      </c>
      <c r="B96">
        <v>839.43</v>
      </c>
      <c r="C96">
        <v>1</v>
      </c>
    </row>
    <row r="97" spans="1:3" x14ac:dyDescent="0.3">
      <c r="A97" s="2" t="s">
        <v>27</v>
      </c>
      <c r="B97">
        <v>979.94550000000004</v>
      </c>
      <c r="C97">
        <v>2</v>
      </c>
    </row>
    <row r="98" spans="1:3" x14ac:dyDescent="0.3">
      <c r="A98" s="2" t="s">
        <v>359</v>
      </c>
      <c r="B98">
        <v>97.263999999999996</v>
      </c>
      <c r="C98">
        <v>1</v>
      </c>
    </row>
    <row r="99" spans="1:3" x14ac:dyDescent="0.3">
      <c r="A99" s="2" t="s">
        <v>319</v>
      </c>
      <c r="B99">
        <v>244.78</v>
      </c>
      <c r="C99">
        <v>3</v>
      </c>
    </row>
    <row r="100" spans="1:3" x14ac:dyDescent="0.3">
      <c r="A100" s="2" t="s">
        <v>104</v>
      </c>
      <c r="B100">
        <v>1228.9531999999999</v>
      </c>
      <c r="C100">
        <v>4</v>
      </c>
    </row>
    <row r="101" spans="1:3" x14ac:dyDescent="0.3">
      <c r="A101" s="2" t="s">
        <v>266</v>
      </c>
      <c r="B101">
        <v>487.5</v>
      </c>
      <c r="C101">
        <v>5</v>
      </c>
    </row>
    <row r="102" spans="1:3" x14ac:dyDescent="0.3">
      <c r="A102" s="2" t="s">
        <v>180</v>
      </c>
      <c r="B102">
        <v>224.9</v>
      </c>
      <c r="C102">
        <v>2</v>
      </c>
    </row>
    <row r="103" spans="1:3" x14ac:dyDescent="0.3">
      <c r="A103" s="2" t="s">
        <v>315</v>
      </c>
      <c r="B103">
        <v>361.10399999999998</v>
      </c>
      <c r="C103">
        <v>2</v>
      </c>
    </row>
    <row r="104" spans="1:3" x14ac:dyDescent="0.3">
      <c r="A104" s="2" t="s">
        <v>145</v>
      </c>
      <c r="B104">
        <v>655.08999999999992</v>
      </c>
      <c r="C104">
        <v>7</v>
      </c>
    </row>
    <row r="105" spans="1:3" x14ac:dyDescent="0.3">
      <c r="A105" s="2" t="s">
        <v>334</v>
      </c>
      <c r="B105">
        <v>5.98</v>
      </c>
      <c r="C105">
        <v>1</v>
      </c>
    </row>
    <row r="106" spans="1:3" x14ac:dyDescent="0.3">
      <c r="A106" s="2" t="s">
        <v>92</v>
      </c>
      <c r="B106">
        <v>3348.4840000000004</v>
      </c>
      <c r="C106">
        <v>8</v>
      </c>
    </row>
    <row r="107" spans="1:3" x14ac:dyDescent="0.3">
      <c r="A107" s="2" t="s">
        <v>277</v>
      </c>
      <c r="B107">
        <v>246.38</v>
      </c>
      <c r="C107">
        <v>2</v>
      </c>
    </row>
    <row r="108" spans="1:3" x14ac:dyDescent="0.3">
      <c r="A108" s="2" t="s">
        <v>446</v>
      </c>
      <c r="B108">
        <v>551.26400000000001</v>
      </c>
      <c r="C108">
        <v>2</v>
      </c>
    </row>
    <row r="109" spans="1:3" x14ac:dyDescent="0.3">
      <c r="A109" s="2" t="s">
        <v>397</v>
      </c>
      <c r="B109">
        <v>46.26</v>
      </c>
      <c r="C109">
        <v>1</v>
      </c>
    </row>
    <row r="110" spans="1:3" x14ac:dyDescent="0.3">
      <c r="A110" s="2" t="s">
        <v>431</v>
      </c>
      <c r="B110">
        <v>1816.6960000000001</v>
      </c>
      <c r="C110">
        <v>5</v>
      </c>
    </row>
    <row r="111" spans="1:3" x14ac:dyDescent="0.3">
      <c r="A111" s="2" t="s">
        <v>69</v>
      </c>
      <c r="B111">
        <v>244.76</v>
      </c>
      <c r="C111">
        <v>3</v>
      </c>
    </row>
    <row r="112" spans="1:3" x14ac:dyDescent="0.3">
      <c r="A112" s="2" t="s">
        <v>460</v>
      </c>
      <c r="B112">
        <v>55235.076199999989</v>
      </c>
      <c r="C112">
        <v>239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6721-B823-429F-BD7E-17C98E6C6064}">
  <dimension ref="A1:K240"/>
  <sheetViews>
    <sheetView workbookViewId="0">
      <selection sqref="A1:K240"/>
    </sheetView>
  </sheetViews>
  <sheetFormatPr defaultRowHeight="14.4" x14ac:dyDescent="0.3"/>
  <cols>
    <col min="2" max="2" width="5" bestFit="1" customWidth="1"/>
    <col min="3" max="4" width="10.33203125" bestFit="1" customWidth="1"/>
    <col min="5" max="5" width="10.77734375" bestFit="1" customWidth="1"/>
    <col min="6" max="6" width="17.33203125" bestFit="1" customWidth="1"/>
    <col min="7" max="7" width="13.88671875" bestFit="1" customWidth="1"/>
    <col min="8" max="8" width="13.109375" bestFit="1" customWidth="1"/>
    <col min="9" max="9" width="6.88671875" bestFit="1" customWidth="1"/>
    <col min="10" max="10" width="11.5546875" bestFit="1" customWidth="1"/>
  </cols>
  <sheetData>
    <row r="1" spans="1:11" x14ac:dyDescent="0.3">
      <c r="A1" s="5" t="s">
        <v>0</v>
      </c>
      <c r="B1" s="3" t="s">
        <v>462</v>
      </c>
      <c r="C1" s="4" t="s">
        <v>1</v>
      </c>
      <c r="D1" s="3" t="s">
        <v>2</v>
      </c>
      <c r="E1" s="3" t="s">
        <v>3</v>
      </c>
      <c r="F1" s="3" t="s">
        <v>4</v>
      </c>
      <c r="G1" s="3" t="s">
        <v>5</v>
      </c>
      <c r="H1" s="3" t="s">
        <v>6</v>
      </c>
      <c r="I1" s="3" t="s">
        <v>7</v>
      </c>
      <c r="J1" s="3" t="s">
        <v>8</v>
      </c>
      <c r="K1" s="3" t="s">
        <v>9</v>
      </c>
    </row>
    <row r="2" spans="1:11" x14ac:dyDescent="0.3">
      <c r="A2" t="s">
        <v>324</v>
      </c>
      <c r="B2">
        <f>YEAR(C2)</f>
        <v>2014</v>
      </c>
      <c r="C2" s="6">
        <v>41642</v>
      </c>
      <c r="D2" s="6">
        <v>41704</v>
      </c>
      <c r="E2" t="s">
        <v>325</v>
      </c>
      <c r="F2" t="s">
        <v>326</v>
      </c>
      <c r="G2" t="s">
        <v>49</v>
      </c>
      <c r="H2" t="s">
        <v>50</v>
      </c>
      <c r="I2" t="s">
        <v>23</v>
      </c>
      <c r="J2" t="s">
        <v>17</v>
      </c>
      <c r="K2">
        <v>457.56799999999998</v>
      </c>
    </row>
    <row r="3" spans="1:11" x14ac:dyDescent="0.3">
      <c r="A3" t="s">
        <v>407</v>
      </c>
      <c r="B3">
        <f t="shared" ref="B3:B66" si="0">YEAR(C3)</f>
        <v>2014</v>
      </c>
      <c r="C3" s="6">
        <v>41706</v>
      </c>
      <c r="D3" s="6">
        <v>41723</v>
      </c>
      <c r="E3" t="s">
        <v>408</v>
      </c>
      <c r="F3" t="s">
        <v>409</v>
      </c>
      <c r="G3" t="s">
        <v>410</v>
      </c>
      <c r="H3" t="s">
        <v>235</v>
      </c>
      <c r="I3" t="s">
        <v>23</v>
      </c>
      <c r="J3" t="s">
        <v>30</v>
      </c>
      <c r="K3">
        <v>218.75</v>
      </c>
    </row>
    <row r="4" spans="1:11" x14ac:dyDescent="0.3">
      <c r="A4" t="s">
        <v>407</v>
      </c>
      <c r="B4">
        <f t="shared" si="0"/>
        <v>2014</v>
      </c>
      <c r="C4" s="6">
        <v>41706</v>
      </c>
      <c r="D4" s="6">
        <v>41723</v>
      </c>
      <c r="E4" t="s">
        <v>408</v>
      </c>
      <c r="F4" t="s">
        <v>409</v>
      </c>
      <c r="G4" t="s">
        <v>410</v>
      </c>
      <c r="H4" t="s">
        <v>235</v>
      </c>
      <c r="I4" t="s">
        <v>23</v>
      </c>
      <c r="J4" t="s">
        <v>39</v>
      </c>
      <c r="K4">
        <v>2.6</v>
      </c>
    </row>
    <row r="5" spans="1:11" x14ac:dyDescent="0.3">
      <c r="A5" t="s">
        <v>351</v>
      </c>
      <c r="B5">
        <f t="shared" si="0"/>
        <v>2014</v>
      </c>
      <c r="C5" s="6">
        <v>41719</v>
      </c>
      <c r="D5" s="6">
        <v>41774</v>
      </c>
      <c r="E5" t="s">
        <v>352</v>
      </c>
      <c r="F5" t="s">
        <v>353</v>
      </c>
      <c r="G5" t="s">
        <v>21</v>
      </c>
      <c r="H5" t="s">
        <v>22</v>
      </c>
      <c r="I5" t="s">
        <v>23</v>
      </c>
      <c r="J5" t="s">
        <v>45</v>
      </c>
      <c r="K5">
        <v>20.94</v>
      </c>
    </row>
    <row r="6" spans="1:11" x14ac:dyDescent="0.3">
      <c r="A6" t="s">
        <v>351</v>
      </c>
      <c r="B6">
        <f t="shared" si="0"/>
        <v>2014</v>
      </c>
      <c r="C6" s="6">
        <v>41719</v>
      </c>
      <c r="D6" s="6">
        <v>41804</v>
      </c>
      <c r="E6" t="s">
        <v>352</v>
      </c>
      <c r="F6" t="s">
        <v>353</v>
      </c>
      <c r="G6" t="s">
        <v>21</v>
      </c>
      <c r="H6" t="s">
        <v>22</v>
      </c>
      <c r="I6" t="s">
        <v>23</v>
      </c>
      <c r="J6" t="s">
        <v>45</v>
      </c>
      <c r="K6">
        <v>110.96</v>
      </c>
    </row>
    <row r="7" spans="1:11" x14ac:dyDescent="0.3">
      <c r="A7" t="s">
        <v>351</v>
      </c>
      <c r="B7">
        <f t="shared" si="0"/>
        <v>2014</v>
      </c>
      <c r="C7" s="6">
        <v>41767</v>
      </c>
      <c r="D7" s="6">
        <v>41804</v>
      </c>
      <c r="E7" t="s">
        <v>352</v>
      </c>
      <c r="F7" t="s">
        <v>353</v>
      </c>
      <c r="G7" t="s">
        <v>21</v>
      </c>
      <c r="H7" t="s">
        <v>22</v>
      </c>
      <c r="I7" t="s">
        <v>23</v>
      </c>
      <c r="J7" t="s">
        <v>17</v>
      </c>
      <c r="K7">
        <v>340.14400000000001</v>
      </c>
    </row>
    <row r="8" spans="1:11" x14ac:dyDescent="0.3">
      <c r="A8" t="s">
        <v>154</v>
      </c>
      <c r="B8">
        <f t="shared" si="0"/>
        <v>2014</v>
      </c>
      <c r="C8" s="6">
        <v>41767</v>
      </c>
      <c r="D8" s="6">
        <v>41804</v>
      </c>
      <c r="E8" t="s">
        <v>155</v>
      </c>
      <c r="F8" t="s">
        <v>156</v>
      </c>
      <c r="G8" t="s">
        <v>157</v>
      </c>
      <c r="H8" t="s">
        <v>158</v>
      </c>
      <c r="I8" t="s">
        <v>23</v>
      </c>
      <c r="J8" t="s">
        <v>36</v>
      </c>
      <c r="K8">
        <v>1113.0239999999999</v>
      </c>
    </row>
    <row r="9" spans="1:11" x14ac:dyDescent="0.3">
      <c r="A9" t="s">
        <v>154</v>
      </c>
      <c r="B9">
        <f t="shared" si="0"/>
        <v>2014</v>
      </c>
      <c r="C9" s="6">
        <v>41767</v>
      </c>
      <c r="D9" s="6">
        <v>41804</v>
      </c>
      <c r="E9" t="s">
        <v>155</v>
      </c>
      <c r="F9" t="s">
        <v>156</v>
      </c>
      <c r="G9" t="s">
        <v>157</v>
      </c>
      <c r="H9" t="s">
        <v>158</v>
      </c>
      <c r="I9" t="s">
        <v>23</v>
      </c>
      <c r="J9" t="s">
        <v>37</v>
      </c>
      <c r="K9">
        <v>167.96799999999999</v>
      </c>
    </row>
    <row r="10" spans="1:11" x14ac:dyDescent="0.3">
      <c r="A10" t="s">
        <v>364</v>
      </c>
      <c r="B10">
        <f t="shared" si="0"/>
        <v>2014</v>
      </c>
      <c r="C10" s="6">
        <v>41771</v>
      </c>
      <c r="D10" s="6">
        <v>41804</v>
      </c>
      <c r="E10" t="s">
        <v>365</v>
      </c>
      <c r="F10" t="s">
        <v>366</v>
      </c>
      <c r="G10" t="s">
        <v>181</v>
      </c>
      <c r="H10" t="s">
        <v>109</v>
      </c>
      <c r="I10" t="s">
        <v>56</v>
      </c>
      <c r="J10" t="s">
        <v>31</v>
      </c>
      <c r="K10">
        <v>24.815999999999999</v>
      </c>
    </row>
    <row r="11" spans="1:11" x14ac:dyDescent="0.3">
      <c r="A11" t="s">
        <v>364</v>
      </c>
      <c r="B11">
        <f t="shared" si="0"/>
        <v>2014</v>
      </c>
      <c r="C11" s="6">
        <v>41771</v>
      </c>
      <c r="D11" s="6">
        <v>41804</v>
      </c>
      <c r="E11" t="s">
        <v>365</v>
      </c>
      <c r="F11" t="s">
        <v>366</v>
      </c>
      <c r="G11" t="s">
        <v>181</v>
      </c>
      <c r="H11" t="s">
        <v>109</v>
      </c>
      <c r="I11" t="s">
        <v>56</v>
      </c>
      <c r="J11" t="s">
        <v>89</v>
      </c>
      <c r="K11">
        <v>408.74400000000003</v>
      </c>
    </row>
    <row r="12" spans="1:11" x14ac:dyDescent="0.3">
      <c r="A12" t="s">
        <v>346</v>
      </c>
      <c r="B12">
        <f t="shared" si="0"/>
        <v>2014</v>
      </c>
      <c r="C12" s="6">
        <v>41771</v>
      </c>
      <c r="D12" s="6">
        <v>41804</v>
      </c>
      <c r="E12" t="s">
        <v>347</v>
      </c>
      <c r="F12" t="s">
        <v>348</v>
      </c>
      <c r="G12" t="s">
        <v>349</v>
      </c>
      <c r="H12" t="s">
        <v>55</v>
      </c>
      <c r="I12" t="s">
        <v>56</v>
      </c>
      <c r="J12" t="s">
        <v>36</v>
      </c>
      <c r="K12">
        <v>9.9359999999999999</v>
      </c>
    </row>
    <row r="13" spans="1:11" x14ac:dyDescent="0.3">
      <c r="A13" t="s">
        <v>346</v>
      </c>
      <c r="B13">
        <f t="shared" si="0"/>
        <v>2014</v>
      </c>
      <c r="C13" s="6">
        <v>41771</v>
      </c>
      <c r="D13" s="6">
        <v>41856</v>
      </c>
      <c r="E13" t="s">
        <v>347</v>
      </c>
      <c r="F13" t="s">
        <v>348</v>
      </c>
      <c r="G13" t="s">
        <v>349</v>
      </c>
      <c r="H13" t="s">
        <v>55</v>
      </c>
      <c r="I13" t="s">
        <v>56</v>
      </c>
      <c r="J13" t="s">
        <v>350</v>
      </c>
      <c r="K13">
        <v>8159.9520000000002</v>
      </c>
    </row>
    <row r="14" spans="1:11" x14ac:dyDescent="0.3">
      <c r="A14" t="s">
        <v>346</v>
      </c>
      <c r="B14">
        <f t="shared" si="0"/>
        <v>2014</v>
      </c>
      <c r="C14" s="6">
        <v>41772</v>
      </c>
      <c r="D14" s="6">
        <v>41856</v>
      </c>
      <c r="E14" t="s">
        <v>347</v>
      </c>
      <c r="F14" t="s">
        <v>348</v>
      </c>
      <c r="G14" t="s">
        <v>349</v>
      </c>
      <c r="H14" t="s">
        <v>55</v>
      </c>
      <c r="I14" t="s">
        <v>56</v>
      </c>
      <c r="J14" t="s">
        <v>31</v>
      </c>
      <c r="K14">
        <v>275.928</v>
      </c>
    </row>
    <row r="15" spans="1:11" x14ac:dyDescent="0.3">
      <c r="A15" t="s">
        <v>346</v>
      </c>
      <c r="B15">
        <f t="shared" si="0"/>
        <v>2014</v>
      </c>
      <c r="C15" s="6">
        <v>41860</v>
      </c>
      <c r="D15" s="6">
        <v>41860</v>
      </c>
      <c r="E15" t="s">
        <v>347</v>
      </c>
      <c r="F15" t="s">
        <v>348</v>
      </c>
      <c r="G15" t="s">
        <v>349</v>
      </c>
      <c r="H15" t="s">
        <v>55</v>
      </c>
      <c r="I15" t="s">
        <v>56</v>
      </c>
      <c r="J15" t="s">
        <v>17</v>
      </c>
      <c r="K15">
        <v>1740.06</v>
      </c>
    </row>
    <row r="16" spans="1:11" x14ac:dyDescent="0.3">
      <c r="A16" t="s">
        <v>346</v>
      </c>
      <c r="B16">
        <f t="shared" si="0"/>
        <v>2014</v>
      </c>
      <c r="C16" s="6">
        <v>41860</v>
      </c>
      <c r="D16" s="6">
        <v>41860</v>
      </c>
      <c r="E16" t="s">
        <v>347</v>
      </c>
      <c r="F16" t="s">
        <v>348</v>
      </c>
      <c r="G16" t="s">
        <v>349</v>
      </c>
      <c r="H16" t="s">
        <v>55</v>
      </c>
      <c r="I16" t="s">
        <v>56</v>
      </c>
      <c r="J16" t="s">
        <v>36</v>
      </c>
      <c r="K16">
        <v>32.064</v>
      </c>
    </row>
    <row r="17" spans="1:11" x14ac:dyDescent="0.3">
      <c r="A17" t="s">
        <v>346</v>
      </c>
      <c r="B17">
        <f t="shared" si="0"/>
        <v>2014</v>
      </c>
      <c r="C17" s="6">
        <v>41860</v>
      </c>
      <c r="D17" s="6">
        <v>41860</v>
      </c>
      <c r="E17" t="s">
        <v>347</v>
      </c>
      <c r="F17" t="s">
        <v>348</v>
      </c>
      <c r="G17" t="s">
        <v>349</v>
      </c>
      <c r="H17" t="s">
        <v>55</v>
      </c>
      <c r="I17" t="s">
        <v>56</v>
      </c>
      <c r="J17" t="s">
        <v>39</v>
      </c>
      <c r="K17">
        <v>177.98</v>
      </c>
    </row>
    <row r="18" spans="1:11" x14ac:dyDescent="0.3">
      <c r="A18" t="s">
        <v>346</v>
      </c>
      <c r="B18">
        <f t="shared" si="0"/>
        <v>2014</v>
      </c>
      <c r="C18" s="6">
        <v>41860</v>
      </c>
      <c r="D18" s="6">
        <v>41878</v>
      </c>
      <c r="E18" t="s">
        <v>347</v>
      </c>
      <c r="F18" t="s">
        <v>348</v>
      </c>
      <c r="G18" t="s">
        <v>349</v>
      </c>
      <c r="H18" t="s">
        <v>55</v>
      </c>
      <c r="I18" t="s">
        <v>56</v>
      </c>
      <c r="J18" t="s">
        <v>37</v>
      </c>
      <c r="K18">
        <v>143.976</v>
      </c>
    </row>
    <row r="19" spans="1:11" x14ac:dyDescent="0.3">
      <c r="A19" t="s">
        <v>32</v>
      </c>
      <c r="B19">
        <f t="shared" si="0"/>
        <v>2014</v>
      </c>
      <c r="C19" s="6">
        <v>41860</v>
      </c>
      <c r="D19" s="6">
        <v>41878</v>
      </c>
      <c r="E19" t="s">
        <v>33</v>
      </c>
      <c r="F19" t="s">
        <v>34</v>
      </c>
      <c r="G19" t="s">
        <v>21</v>
      </c>
      <c r="H19" t="s">
        <v>22</v>
      </c>
      <c r="I19" t="s">
        <v>23</v>
      </c>
      <c r="J19" t="s">
        <v>35</v>
      </c>
      <c r="K19">
        <v>48.86</v>
      </c>
    </row>
    <row r="20" spans="1:11" x14ac:dyDescent="0.3">
      <c r="A20" t="s">
        <v>32</v>
      </c>
      <c r="B20">
        <f t="shared" si="0"/>
        <v>2014</v>
      </c>
      <c r="C20" s="6">
        <v>41860</v>
      </c>
      <c r="D20" s="6">
        <v>41878</v>
      </c>
      <c r="E20" t="s">
        <v>33</v>
      </c>
      <c r="F20" t="s">
        <v>34</v>
      </c>
      <c r="G20" t="s">
        <v>21</v>
      </c>
      <c r="H20" t="s">
        <v>22</v>
      </c>
      <c r="I20" t="s">
        <v>23</v>
      </c>
      <c r="J20" t="s">
        <v>36</v>
      </c>
      <c r="K20">
        <v>7.28</v>
      </c>
    </row>
    <row r="21" spans="1:11" x14ac:dyDescent="0.3">
      <c r="A21" t="s">
        <v>32</v>
      </c>
      <c r="B21">
        <f t="shared" si="0"/>
        <v>2014</v>
      </c>
      <c r="C21" s="6">
        <v>41860</v>
      </c>
      <c r="D21" s="6">
        <v>41878</v>
      </c>
      <c r="E21" t="s">
        <v>33</v>
      </c>
      <c r="F21" t="s">
        <v>34</v>
      </c>
      <c r="G21" t="s">
        <v>21</v>
      </c>
      <c r="H21" t="s">
        <v>22</v>
      </c>
      <c r="I21" t="s">
        <v>23</v>
      </c>
      <c r="J21" t="s">
        <v>37</v>
      </c>
      <c r="K21">
        <v>907.15200000000004</v>
      </c>
    </row>
    <row r="22" spans="1:11" x14ac:dyDescent="0.3">
      <c r="A22" t="s">
        <v>32</v>
      </c>
      <c r="B22">
        <f t="shared" si="0"/>
        <v>2014</v>
      </c>
      <c r="C22" s="6">
        <v>41876</v>
      </c>
      <c r="D22" s="6">
        <v>41881</v>
      </c>
      <c r="E22" t="s">
        <v>33</v>
      </c>
      <c r="F22" t="s">
        <v>34</v>
      </c>
      <c r="G22" t="s">
        <v>21</v>
      </c>
      <c r="H22" t="s">
        <v>22</v>
      </c>
      <c r="I22" t="s">
        <v>23</v>
      </c>
      <c r="J22" t="s">
        <v>38</v>
      </c>
      <c r="K22">
        <v>18.504000000000001</v>
      </c>
    </row>
    <row r="23" spans="1:11" x14ac:dyDescent="0.3">
      <c r="A23" t="s">
        <v>32</v>
      </c>
      <c r="B23">
        <f t="shared" si="0"/>
        <v>2014</v>
      </c>
      <c r="C23" s="6">
        <v>41876</v>
      </c>
      <c r="D23" s="6">
        <v>41883</v>
      </c>
      <c r="E23" t="s">
        <v>33</v>
      </c>
      <c r="F23" t="s">
        <v>34</v>
      </c>
      <c r="G23" t="s">
        <v>21</v>
      </c>
      <c r="H23" t="s">
        <v>22</v>
      </c>
      <c r="I23" t="s">
        <v>23</v>
      </c>
      <c r="J23" t="s">
        <v>39</v>
      </c>
      <c r="K23">
        <v>114.9</v>
      </c>
    </row>
    <row r="24" spans="1:11" x14ac:dyDescent="0.3">
      <c r="A24" t="s">
        <v>32</v>
      </c>
      <c r="B24">
        <f t="shared" si="0"/>
        <v>2014</v>
      </c>
      <c r="C24" s="6">
        <v>41876</v>
      </c>
      <c r="D24" s="6">
        <v>41883</v>
      </c>
      <c r="E24" t="s">
        <v>33</v>
      </c>
      <c r="F24" t="s">
        <v>34</v>
      </c>
      <c r="G24" t="s">
        <v>21</v>
      </c>
      <c r="H24" t="s">
        <v>22</v>
      </c>
      <c r="I24" t="s">
        <v>23</v>
      </c>
      <c r="J24" t="s">
        <v>30</v>
      </c>
      <c r="K24">
        <v>1706.184</v>
      </c>
    </row>
    <row r="25" spans="1:11" x14ac:dyDescent="0.3">
      <c r="A25" t="s">
        <v>32</v>
      </c>
      <c r="B25">
        <f t="shared" si="0"/>
        <v>2014</v>
      </c>
      <c r="C25" s="6">
        <v>41876</v>
      </c>
      <c r="D25" s="6">
        <v>41883</v>
      </c>
      <c r="E25" t="s">
        <v>33</v>
      </c>
      <c r="F25" t="s">
        <v>34</v>
      </c>
      <c r="G25" t="s">
        <v>21</v>
      </c>
      <c r="H25" t="s">
        <v>22</v>
      </c>
      <c r="I25" t="s">
        <v>23</v>
      </c>
      <c r="J25" t="s">
        <v>37</v>
      </c>
      <c r="K25">
        <v>911.42399999999998</v>
      </c>
    </row>
    <row r="26" spans="1:11" x14ac:dyDescent="0.3">
      <c r="A26" t="s">
        <v>57</v>
      </c>
      <c r="B26">
        <f t="shared" si="0"/>
        <v>2014</v>
      </c>
      <c r="C26" s="6">
        <v>41877</v>
      </c>
      <c r="D26" s="6">
        <v>41894</v>
      </c>
      <c r="E26" t="s">
        <v>58</v>
      </c>
      <c r="F26" t="s">
        <v>59</v>
      </c>
      <c r="G26" t="s">
        <v>60</v>
      </c>
      <c r="H26" t="s">
        <v>61</v>
      </c>
      <c r="I26" t="s">
        <v>56</v>
      </c>
      <c r="J26" t="s">
        <v>31</v>
      </c>
      <c r="K26">
        <v>665.88</v>
      </c>
    </row>
    <row r="27" spans="1:11" x14ac:dyDescent="0.3">
      <c r="A27" t="s">
        <v>183</v>
      </c>
      <c r="B27">
        <f t="shared" si="0"/>
        <v>2014</v>
      </c>
      <c r="C27" s="6">
        <v>41878</v>
      </c>
      <c r="D27" s="6">
        <v>41894</v>
      </c>
      <c r="E27" t="s">
        <v>184</v>
      </c>
      <c r="F27" t="s">
        <v>185</v>
      </c>
      <c r="G27" t="s">
        <v>70</v>
      </c>
      <c r="H27" t="s">
        <v>22</v>
      </c>
      <c r="I27" t="s">
        <v>23</v>
      </c>
      <c r="J27" t="s">
        <v>36</v>
      </c>
      <c r="K27">
        <v>14.9</v>
      </c>
    </row>
    <row r="28" spans="1:11" x14ac:dyDescent="0.3">
      <c r="A28" t="s">
        <v>183</v>
      </c>
      <c r="B28">
        <f t="shared" si="0"/>
        <v>2014</v>
      </c>
      <c r="C28" s="6">
        <v>41878</v>
      </c>
      <c r="D28" s="6">
        <v>41894</v>
      </c>
      <c r="E28" t="s">
        <v>184</v>
      </c>
      <c r="F28" t="s">
        <v>185</v>
      </c>
      <c r="G28" t="s">
        <v>70</v>
      </c>
      <c r="H28" t="s">
        <v>22</v>
      </c>
      <c r="I28" t="s">
        <v>23</v>
      </c>
      <c r="J28" t="s">
        <v>31</v>
      </c>
      <c r="K28">
        <v>21.39</v>
      </c>
    </row>
    <row r="29" spans="1:11" x14ac:dyDescent="0.3">
      <c r="A29" t="s">
        <v>429</v>
      </c>
      <c r="B29">
        <f t="shared" si="0"/>
        <v>2014</v>
      </c>
      <c r="C29" s="6">
        <v>41878</v>
      </c>
      <c r="D29" s="6">
        <v>41894</v>
      </c>
      <c r="E29" t="s">
        <v>430</v>
      </c>
      <c r="F29" t="s">
        <v>431</v>
      </c>
      <c r="G29" t="s">
        <v>432</v>
      </c>
      <c r="H29" t="s">
        <v>256</v>
      </c>
      <c r="I29" t="s">
        <v>81</v>
      </c>
      <c r="J29" t="s">
        <v>24</v>
      </c>
      <c r="K29">
        <v>23.68</v>
      </c>
    </row>
    <row r="30" spans="1:11" x14ac:dyDescent="0.3">
      <c r="A30" t="s">
        <v>429</v>
      </c>
      <c r="B30">
        <f t="shared" si="0"/>
        <v>2014</v>
      </c>
      <c r="C30" s="6">
        <v>41888</v>
      </c>
      <c r="D30" s="6">
        <v>41894</v>
      </c>
      <c r="E30" t="s">
        <v>430</v>
      </c>
      <c r="F30" t="s">
        <v>431</v>
      </c>
      <c r="G30" t="s">
        <v>432</v>
      </c>
      <c r="H30" t="s">
        <v>256</v>
      </c>
      <c r="I30" t="s">
        <v>81</v>
      </c>
      <c r="J30" t="s">
        <v>16</v>
      </c>
      <c r="K30">
        <v>452.45</v>
      </c>
    </row>
    <row r="31" spans="1:11" x14ac:dyDescent="0.3">
      <c r="A31" t="s">
        <v>429</v>
      </c>
      <c r="B31">
        <f t="shared" si="0"/>
        <v>2014</v>
      </c>
      <c r="C31" s="6">
        <v>41888</v>
      </c>
      <c r="D31" s="6">
        <v>41894</v>
      </c>
      <c r="E31" t="s">
        <v>430</v>
      </c>
      <c r="F31" t="s">
        <v>431</v>
      </c>
      <c r="G31" t="s">
        <v>432</v>
      </c>
      <c r="H31" t="s">
        <v>256</v>
      </c>
      <c r="I31" t="s">
        <v>81</v>
      </c>
      <c r="J31" t="s">
        <v>37</v>
      </c>
      <c r="K31">
        <v>62.981999999999999</v>
      </c>
    </row>
    <row r="32" spans="1:11" x14ac:dyDescent="0.3">
      <c r="A32" t="s">
        <v>429</v>
      </c>
      <c r="B32">
        <f t="shared" si="0"/>
        <v>2014</v>
      </c>
      <c r="C32" s="6">
        <v>41888</v>
      </c>
      <c r="D32" s="6">
        <v>41894</v>
      </c>
      <c r="E32" t="s">
        <v>430</v>
      </c>
      <c r="F32" t="s">
        <v>431</v>
      </c>
      <c r="G32" t="s">
        <v>432</v>
      </c>
      <c r="H32" t="s">
        <v>256</v>
      </c>
      <c r="I32" t="s">
        <v>81</v>
      </c>
      <c r="J32" t="s">
        <v>350</v>
      </c>
      <c r="K32">
        <v>1188</v>
      </c>
    </row>
    <row r="33" spans="1:11" x14ac:dyDescent="0.3">
      <c r="A33" t="s">
        <v>429</v>
      </c>
      <c r="B33">
        <f t="shared" si="0"/>
        <v>2014</v>
      </c>
      <c r="C33" s="6">
        <v>41888</v>
      </c>
      <c r="D33" s="6">
        <v>41899</v>
      </c>
      <c r="E33" t="s">
        <v>430</v>
      </c>
      <c r="F33" t="s">
        <v>431</v>
      </c>
      <c r="G33" t="s">
        <v>432</v>
      </c>
      <c r="H33" t="s">
        <v>256</v>
      </c>
      <c r="I33" t="s">
        <v>81</v>
      </c>
      <c r="J33" t="s">
        <v>89</v>
      </c>
      <c r="K33">
        <v>89.584000000000003</v>
      </c>
    </row>
    <row r="34" spans="1:11" x14ac:dyDescent="0.3">
      <c r="A34" t="s">
        <v>257</v>
      </c>
      <c r="B34">
        <f t="shared" si="0"/>
        <v>2014</v>
      </c>
      <c r="C34" s="6">
        <v>41888</v>
      </c>
      <c r="D34" s="6">
        <v>41901</v>
      </c>
      <c r="E34" t="s">
        <v>258</v>
      </c>
      <c r="F34" t="s">
        <v>259</v>
      </c>
      <c r="G34" t="s">
        <v>49</v>
      </c>
      <c r="H34" t="s">
        <v>50</v>
      </c>
      <c r="I34" t="s">
        <v>23</v>
      </c>
      <c r="J34" t="s">
        <v>30</v>
      </c>
      <c r="K34">
        <v>787.53</v>
      </c>
    </row>
    <row r="35" spans="1:11" x14ac:dyDescent="0.3">
      <c r="A35" t="s">
        <v>186</v>
      </c>
      <c r="B35">
        <f t="shared" si="0"/>
        <v>2014</v>
      </c>
      <c r="C35" s="6">
        <v>41888</v>
      </c>
      <c r="D35" s="6">
        <v>41901</v>
      </c>
      <c r="E35" t="s">
        <v>187</v>
      </c>
      <c r="F35" t="s">
        <v>188</v>
      </c>
      <c r="G35" t="s">
        <v>189</v>
      </c>
      <c r="H35" t="s">
        <v>44</v>
      </c>
      <c r="I35" t="s">
        <v>15</v>
      </c>
      <c r="J35" t="s">
        <v>93</v>
      </c>
      <c r="K35">
        <v>200.98400000000001</v>
      </c>
    </row>
    <row r="36" spans="1:11" x14ac:dyDescent="0.3">
      <c r="A36" t="s">
        <v>260</v>
      </c>
      <c r="B36">
        <f t="shared" si="0"/>
        <v>2014</v>
      </c>
      <c r="C36" s="6">
        <v>41888</v>
      </c>
      <c r="D36" s="6">
        <v>41907</v>
      </c>
      <c r="E36" t="s">
        <v>261</v>
      </c>
      <c r="F36" t="s">
        <v>262</v>
      </c>
      <c r="G36" t="s">
        <v>263</v>
      </c>
      <c r="H36" t="s">
        <v>173</v>
      </c>
      <c r="I36" t="s">
        <v>15</v>
      </c>
      <c r="J36" t="s">
        <v>38</v>
      </c>
      <c r="K36">
        <v>157.79400000000001</v>
      </c>
    </row>
    <row r="37" spans="1:11" x14ac:dyDescent="0.3">
      <c r="A37" t="s">
        <v>301</v>
      </c>
      <c r="B37">
        <f t="shared" si="0"/>
        <v>2014</v>
      </c>
      <c r="C37" s="6">
        <v>41895</v>
      </c>
      <c r="D37" s="6">
        <v>41928</v>
      </c>
      <c r="E37" t="s">
        <v>302</v>
      </c>
      <c r="F37" t="s">
        <v>303</v>
      </c>
      <c r="G37" t="s">
        <v>304</v>
      </c>
      <c r="H37" t="s">
        <v>22</v>
      </c>
      <c r="I37" t="s">
        <v>23</v>
      </c>
      <c r="J37" t="s">
        <v>31</v>
      </c>
      <c r="K37">
        <v>671.93</v>
      </c>
    </row>
    <row r="38" spans="1:11" x14ac:dyDescent="0.3">
      <c r="A38" t="s">
        <v>426</v>
      </c>
      <c r="B38">
        <f t="shared" si="0"/>
        <v>2014</v>
      </c>
      <c r="C38" s="6">
        <v>41896</v>
      </c>
      <c r="D38" s="6">
        <v>41928</v>
      </c>
      <c r="E38" t="s">
        <v>427</v>
      </c>
      <c r="F38" t="s">
        <v>428</v>
      </c>
      <c r="G38" t="s">
        <v>414</v>
      </c>
      <c r="H38" t="s">
        <v>55</v>
      </c>
      <c r="I38" t="s">
        <v>56</v>
      </c>
      <c r="J38" t="s">
        <v>89</v>
      </c>
      <c r="K38">
        <v>20.8</v>
      </c>
    </row>
    <row r="39" spans="1:11" x14ac:dyDescent="0.3">
      <c r="A39" t="s">
        <v>440</v>
      </c>
      <c r="B39">
        <f t="shared" si="0"/>
        <v>2014</v>
      </c>
      <c r="C39" s="6">
        <v>41896</v>
      </c>
      <c r="D39" s="6">
        <v>41937</v>
      </c>
      <c r="E39" t="s">
        <v>441</v>
      </c>
      <c r="F39" t="s">
        <v>442</v>
      </c>
      <c r="G39" t="s">
        <v>443</v>
      </c>
      <c r="H39" t="s">
        <v>126</v>
      </c>
      <c r="I39" t="s">
        <v>56</v>
      </c>
      <c r="J39" t="s">
        <v>36</v>
      </c>
      <c r="K39">
        <v>2.2000000000000002</v>
      </c>
    </row>
    <row r="40" spans="1:11" x14ac:dyDescent="0.3">
      <c r="A40" t="s">
        <v>440</v>
      </c>
      <c r="B40">
        <f t="shared" si="0"/>
        <v>2014</v>
      </c>
      <c r="C40" s="6">
        <v>41902</v>
      </c>
      <c r="D40" s="6">
        <v>41940</v>
      </c>
      <c r="E40" t="s">
        <v>441</v>
      </c>
      <c r="F40" t="s">
        <v>442</v>
      </c>
      <c r="G40" t="s">
        <v>443</v>
      </c>
      <c r="H40" t="s">
        <v>126</v>
      </c>
      <c r="I40" t="s">
        <v>56</v>
      </c>
      <c r="J40" t="s">
        <v>30</v>
      </c>
      <c r="K40">
        <v>622.45000000000005</v>
      </c>
    </row>
    <row r="41" spans="1:11" x14ac:dyDescent="0.3">
      <c r="A41" t="s">
        <v>440</v>
      </c>
      <c r="B41">
        <f t="shared" si="0"/>
        <v>2014</v>
      </c>
      <c r="C41" s="6">
        <v>41932</v>
      </c>
      <c r="D41" s="6">
        <v>41961</v>
      </c>
      <c r="E41" t="s">
        <v>441</v>
      </c>
      <c r="F41" t="s">
        <v>442</v>
      </c>
      <c r="G41" t="s">
        <v>443</v>
      </c>
      <c r="H41" t="s">
        <v>126</v>
      </c>
      <c r="I41" t="s">
        <v>56</v>
      </c>
      <c r="J41" t="s">
        <v>31</v>
      </c>
      <c r="K41">
        <v>21.98</v>
      </c>
    </row>
    <row r="42" spans="1:11" x14ac:dyDescent="0.3">
      <c r="A42" t="s">
        <v>25</v>
      </c>
      <c r="B42">
        <f t="shared" si="0"/>
        <v>2014</v>
      </c>
      <c r="C42" s="6">
        <v>41934</v>
      </c>
      <c r="D42" s="6">
        <v>41967</v>
      </c>
      <c r="E42" t="s">
        <v>26</v>
      </c>
      <c r="F42" t="s">
        <v>27</v>
      </c>
      <c r="G42" t="s">
        <v>28</v>
      </c>
      <c r="H42" t="s">
        <v>29</v>
      </c>
      <c r="I42" t="s">
        <v>15</v>
      </c>
      <c r="J42" t="s">
        <v>30</v>
      </c>
      <c r="K42">
        <v>957.57749999999999</v>
      </c>
    </row>
    <row r="43" spans="1:11" x14ac:dyDescent="0.3">
      <c r="A43" t="s">
        <v>25</v>
      </c>
      <c r="B43">
        <f t="shared" si="0"/>
        <v>2014</v>
      </c>
      <c r="C43" s="6">
        <v>41954</v>
      </c>
      <c r="D43" s="6">
        <v>41967</v>
      </c>
      <c r="E43" t="s">
        <v>26</v>
      </c>
      <c r="F43" t="s">
        <v>27</v>
      </c>
      <c r="G43" t="s">
        <v>28</v>
      </c>
      <c r="H43" t="s">
        <v>29</v>
      </c>
      <c r="I43" t="s">
        <v>15</v>
      </c>
      <c r="J43" t="s">
        <v>31</v>
      </c>
      <c r="K43">
        <v>22.367999999999999</v>
      </c>
    </row>
    <row r="44" spans="1:11" x14ac:dyDescent="0.3">
      <c r="A44" t="s">
        <v>384</v>
      </c>
      <c r="B44">
        <f t="shared" si="0"/>
        <v>2014</v>
      </c>
      <c r="C44" s="6">
        <v>41962</v>
      </c>
      <c r="D44" s="6">
        <v>41967</v>
      </c>
      <c r="E44" t="s">
        <v>385</v>
      </c>
      <c r="F44" t="s">
        <v>386</v>
      </c>
      <c r="G44" t="s">
        <v>140</v>
      </c>
      <c r="H44" t="s">
        <v>141</v>
      </c>
      <c r="I44" t="s">
        <v>81</v>
      </c>
      <c r="J44" t="s">
        <v>16</v>
      </c>
      <c r="K44">
        <v>899.13599999999997</v>
      </c>
    </row>
    <row r="45" spans="1:11" x14ac:dyDescent="0.3">
      <c r="A45" t="s">
        <v>384</v>
      </c>
      <c r="B45">
        <f t="shared" si="0"/>
        <v>2014</v>
      </c>
      <c r="C45" s="6">
        <v>41962</v>
      </c>
      <c r="D45" s="6">
        <v>41974</v>
      </c>
      <c r="E45" t="s">
        <v>385</v>
      </c>
      <c r="F45" t="s">
        <v>386</v>
      </c>
      <c r="G45" t="s">
        <v>140</v>
      </c>
      <c r="H45" t="s">
        <v>141</v>
      </c>
      <c r="I45" t="s">
        <v>81</v>
      </c>
      <c r="J45" t="s">
        <v>37</v>
      </c>
      <c r="K45">
        <v>71.760000000000005</v>
      </c>
    </row>
    <row r="46" spans="1:11" x14ac:dyDescent="0.3">
      <c r="A46" t="s">
        <v>384</v>
      </c>
      <c r="B46">
        <f t="shared" si="0"/>
        <v>2014</v>
      </c>
      <c r="C46" s="6">
        <v>41962</v>
      </c>
      <c r="D46" s="6">
        <v>41982</v>
      </c>
      <c r="E46" t="s">
        <v>385</v>
      </c>
      <c r="F46" t="s">
        <v>386</v>
      </c>
      <c r="G46" t="s">
        <v>140</v>
      </c>
      <c r="H46" t="s">
        <v>141</v>
      </c>
      <c r="I46" t="s">
        <v>81</v>
      </c>
      <c r="J46" t="s">
        <v>45</v>
      </c>
      <c r="K46">
        <v>51.84</v>
      </c>
    </row>
    <row r="47" spans="1:11" x14ac:dyDescent="0.3">
      <c r="A47" t="s">
        <v>384</v>
      </c>
      <c r="B47">
        <f t="shared" si="0"/>
        <v>2014</v>
      </c>
      <c r="C47" s="6">
        <v>41969</v>
      </c>
      <c r="D47" s="6">
        <v>41982</v>
      </c>
      <c r="E47" t="s">
        <v>385</v>
      </c>
      <c r="F47" t="s">
        <v>386</v>
      </c>
      <c r="G47" t="s">
        <v>140</v>
      </c>
      <c r="H47" t="s">
        <v>141</v>
      </c>
      <c r="I47" t="s">
        <v>81</v>
      </c>
      <c r="J47" t="s">
        <v>16</v>
      </c>
      <c r="K47">
        <v>626.35199999999998</v>
      </c>
    </row>
    <row r="48" spans="1:11" x14ac:dyDescent="0.3">
      <c r="A48" t="s">
        <v>384</v>
      </c>
      <c r="B48">
        <f t="shared" si="0"/>
        <v>2014</v>
      </c>
      <c r="C48" s="6">
        <v>41983</v>
      </c>
      <c r="D48" s="6">
        <v>41983</v>
      </c>
      <c r="E48" t="s">
        <v>385</v>
      </c>
      <c r="F48" t="s">
        <v>386</v>
      </c>
      <c r="G48" t="s">
        <v>140</v>
      </c>
      <c r="H48" t="s">
        <v>141</v>
      </c>
      <c r="I48" t="s">
        <v>81</v>
      </c>
      <c r="J48" t="s">
        <v>36</v>
      </c>
      <c r="K48">
        <v>19.899999999999999</v>
      </c>
    </row>
    <row r="49" spans="1:11" x14ac:dyDescent="0.3">
      <c r="A49" t="s">
        <v>228</v>
      </c>
      <c r="B49">
        <f t="shared" si="0"/>
        <v>2014</v>
      </c>
      <c r="C49" s="6">
        <v>41983</v>
      </c>
      <c r="D49" s="6">
        <v>41983</v>
      </c>
      <c r="E49" t="s">
        <v>229</v>
      </c>
      <c r="F49" t="s">
        <v>230</v>
      </c>
      <c r="G49" t="s">
        <v>199</v>
      </c>
      <c r="H49" t="s">
        <v>121</v>
      </c>
      <c r="I49" t="s">
        <v>56</v>
      </c>
      <c r="J49" t="s">
        <v>45</v>
      </c>
      <c r="K49">
        <v>23.92</v>
      </c>
    </row>
    <row r="50" spans="1:11" x14ac:dyDescent="0.3">
      <c r="A50" t="s">
        <v>247</v>
      </c>
      <c r="B50">
        <f t="shared" si="0"/>
        <v>2014</v>
      </c>
      <c r="C50" s="6">
        <v>41999</v>
      </c>
      <c r="D50" s="6">
        <v>42001</v>
      </c>
      <c r="E50" t="s">
        <v>248</v>
      </c>
      <c r="F50" t="s">
        <v>249</v>
      </c>
      <c r="G50" t="s">
        <v>250</v>
      </c>
      <c r="H50" t="s">
        <v>251</v>
      </c>
      <c r="I50" t="s">
        <v>56</v>
      </c>
      <c r="J50" t="s">
        <v>36</v>
      </c>
      <c r="K50">
        <v>75.959999999999994</v>
      </c>
    </row>
    <row r="51" spans="1:11" x14ac:dyDescent="0.3">
      <c r="A51" t="s">
        <v>247</v>
      </c>
      <c r="B51">
        <f t="shared" si="0"/>
        <v>2015</v>
      </c>
      <c r="C51" s="6">
        <v>42035</v>
      </c>
      <c r="D51" s="6">
        <v>42013</v>
      </c>
      <c r="E51" t="s">
        <v>248</v>
      </c>
      <c r="F51" t="s">
        <v>249</v>
      </c>
      <c r="G51" t="s">
        <v>250</v>
      </c>
      <c r="H51" t="s">
        <v>251</v>
      </c>
      <c r="I51" t="s">
        <v>56</v>
      </c>
      <c r="J51" t="s">
        <v>38</v>
      </c>
      <c r="K51">
        <v>27.24</v>
      </c>
    </row>
    <row r="52" spans="1:11" x14ac:dyDescent="0.3">
      <c r="A52" t="s">
        <v>159</v>
      </c>
      <c r="B52">
        <f t="shared" si="0"/>
        <v>2015</v>
      </c>
      <c r="C52" s="6">
        <v>42035</v>
      </c>
      <c r="D52" s="6">
        <v>42013</v>
      </c>
      <c r="E52" t="s">
        <v>160</v>
      </c>
      <c r="F52" t="s">
        <v>161</v>
      </c>
      <c r="G52" t="s">
        <v>162</v>
      </c>
      <c r="H52" t="s">
        <v>163</v>
      </c>
      <c r="I52" t="s">
        <v>15</v>
      </c>
      <c r="J52" t="s">
        <v>45</v>
      </c>
      <c r="K52">
        <v>75.88</v>
      </c>
    </row>
    <row r="53" spans="1:11" x14ac:dyDescent="0.3">
      <c r="A53" t="s">
        <v>456</v>
      </c>
      <c r="B53">
        <f t="shared" si="0"/>
        <v>2015</v>
      </c>
      <c r="C53" s="6">
        <v>42035</v>
      </c>
      <c r="D53" s="6">
        <v>42013</v>
      </c>
      <c r="E53" t="s">
        <v>457</v>
      </c>
      <c r="F53" t="s">
        <v>458</v>
      </c>
      <c r="G53" t="s">
        <v>153</v>
      </c>
      <c r="H53" t="s">
        <v>109</v>
      </c>
      <c r="I53" t="s">
        <v>56</v>
      </c>
      <c r="J53" t="s">
        <v>45</v>
      </c>
      <c r="K53">
        <v>25.92</v>
      </c>
    </row>
    <row r="54" spans="1:11" x14ac:dyDescent="0.3">
      <c r="A54" t="s">
        <v>456</v>
      </c>
      <c r="B54">
        <f t="shared" si="0"/>
        <v>2015</v>
      </c>
      <c r="C54" s="6">
        <v>42036</v>
      </c>
      <c r="D54" s="6">
        <v>42013</v>
      </c>
      <c r="E54" t="s">
        <v>457</v>
      </c>
      <c r="F54" t="s">
        <v>458</v>
      </c>
      <c r="G54" t="s">
        <v>153</v>
      </c>
      <c r="H54" t="s">
        <v>109</v>
      </c>
      <c r="I54" t="s">
        <v>56</v>
      </c>
      <c r="J54" t="s">
        <v>35</v>
      </c>
      <c r="K54">
        <v>419.68</v>
      </c>
    </row>
    <row r="55" spans="1:11" x14ac:dyDescent="0.3">
      <c r="A55" t="s">
        <v>200</v>
      </c>
      <c r="B55">
        <f t="shared" si="0"/>
        <v>2015</v>
      </c>
      <c r="C55" s="6">
        <v>42036</v>
      </c>
      <c r="D55" s="6">
        <v>42013</v>
      </c>
      <c r="E55" t="s">
        <v>201</v>
      </c>
      <c r="F55" t="s">
        <v>202</v>
      </c>
      <c r="G55" t="s">
        <v>97</v>
      </c>
      <c r="H55" t="s">
        <v>55</v>
      </c>
      <c r="I55" t="s">
        <v>56</v>
      </c>
      <c r="J55" t="s">
        <v>31</v>
      </c>
      <c r="K55">
        <v>158.36799999999999</v>
      </c>
    </row>
    <row r="56" spans="1:11" x14ac:dyDescent="0.3">
      <c r="A56" t="s">
        <v>290</v>
      </c>
      <c r="B56">
        <f t="shared" si="0"/>
        <v>2015</v>
      </c>
      <c r="C56" s="6">
        <v>42036</v>
      </c>
      <c r="D56" s="6">
        <v>42040</v>
      </c>
      <c r="E56" t="s">
        <v>291</v>
      </c>
      <c r="F56" t="s">
        <v>292</v>
      </c>
      <c r="G56" t="s">
        <v>79</v>
      </c>
      <c r="H56" t="s">
        <v>80</v>
      </c>
      <c r="I56" t="s">
        <v>81</v>
      </c>
      <c r="J56" t="s">
        <v>35</v>
      </c>
      <c r="K56">
        <v>82.8</v>
      </c>
    </row>
    <row r="57" spans="1:11" x14ac:dyDescent="0.3">
      <c r="A57" t="s">
        <v>46</v>
      </c>
      <c r="B57">
        <f t="shared" si="0"/>
        <v>2015</v>
      </c>
      <c r="C57" s="6">
        <v>42036</v>
      </c>
      <c r="D57" s="6">
        <v>42040</v>
      </c>
      <c r="E57" t="s">
        <v>47</v>
      </c>
      <c r="F57" t="s">
        <v>48</v>
      </c>
      <c r="G57" t="s">
        <v>49</v>
      </c>
      <c r="H57" t="s">
        <v>50</v>
      </c>
      <c r="I57" t="s">
        <v>23</v>
      </c>
      <c r="J57" t="s">
        <v>38</v>
      </c>
      <c r="K57">
        <v>407.976</v>
      </c>
    </row>
    <row r="58" spans="1:11" x14ac:dyDescent="0.3">
      <c r="A58" t="s">
        <v>309</v>
      </c>
      <c r="B58">
        <f t="shared" si="0"/>
        <v>2015</v>
      </c>
      <c r="C58" s="6">
        <v>42036</v>
      </c>
      <c r="D58" s="6">
        <v>42040</v>
      </c>
      <c r="E58" t="s">
        <v>310</v>
      </c>
      <c r="F58" t="s">
        <v>311</v>
      </c>
      <c r="G58" t="s">
        <v>312</v>
      </c>
      <c r="H58" t="s">
        <v>61</v>
      </c>
      <c r="I58" t="s">
        <v>56</v>
      </c>
      <c r="J58" t="s">
        <v>37</v>
      </c>
      <c r="K58">
        <v>384.45</v>
      </c>
    </row>
    <row r="59" spans="1:11" x14ac:dyDescent="0.3">
      <c r="A59" t="s">
        <v>309</v>
      </c>
      <c r="B59">
        <f t="shared" si="0"/>
        <v>2015</v>
      </c>
      <c r="C59" s="6">
        <v>42038</v>
      </c>
      <c r="D59" s="6">
        <v>42048</v>
      </c>
      <c r="E59" t="s">
        <v>310</v>
      </c>
      <c r="F59" t="s">
        <v>311</v>
      </c>
      <c r="G59" t="s">
        <v>312</v>
      </c>
      <c r="H59" t="s">
        <v>61</v>
      </c>
      <c r="I59" t="s">
        <v>56</v>
      </c>
      <c r="J59" t="s">
        <v>37</v>
      </c>
      <c r="K59">
        <v>149.97</v>
      </c>
    </row>
    <row r="60" spans="1:11" x14ac:dyDescent="0.3">
      <c r="A60" t="s">
        <v>309</v>
      </c>
      <c r="B60">
        <f t="shared" si="0"/>
        <v>2015</v>
      </c>
      <c r="C60" s="6">
        <v>42063</v>
      </c>
      <c r="D60" s="6">
        <v>42067</v>
      </c>
      <c r="E60" t="s">
        <v>310</v>
      </c>
      <c r="F60" t="s">
        <v>311</v>
      </c>
      <c r="G60" t="s">
        <v>312</v>
      </c>
      <c r="H60" t="s">
        <v>61</v>
      </c>
      <c r="I60" t="s">
        <v>56</v>
      </c>
      <c r="J60" t="s">
        <v>17</v>
      </c>
      <c r="K60">
        <v>1951.84</v>
      </c>
    </row>
    <row r="61" spans="1:11" x14ac:dyDescent="0.3">
      <c r="A61" t="s">
        <v>309</v>
      </c>
      <c r="B61">
        <f t="shared" si="0"/>
        <v>2015</v>
      </c>
      <c r="C61" s="6">
        <v>42063</v>
      </c>
      <c r="D61" s="6">
        <v>42067</v>
      </c>
      <c r="E61" t="s">
        <v>310</v>
      </c>
      <c r="F61" t="s">
        <v>311</v>
      </c>
      <c r="G61" t="s">
        <v>312</v>
      </c>
      <c r="H61" t="s">
        <v>61</v>
      </c>
      <c r="I61" t="s">
        <v>56</v>
      </c>
      <c r="J61" t="s">
        <v>38</v>
      </c>
      <c r="K61">
        <v>171.55</v>
      </c>
    </row>
    <row r="62" spans="1:11" x14ac:dyDescent="0.3">
      <c r="A62" t="s">
        <v>221</v>
      </c>
      <c r="B62">
        <f t="shared" si="0"/>
        <v>2015</v>
      </c>
      <c r="C62" s="6">
        <v>42072</v>
      </c>
      <c r="D62" s="6">
        <v>42069</v>
      </c>
      <c r="E62" t="s">
        <v>222</v>
      </c>
      <c r="F62" t="s">
        <v>223</v>
      </c>
      <c r="G62" t="s">
        <v>224</v>
      </c>
      <c r="H62" t="s">
        <v>121</v>
      </c>
      <c r="I62" t="s">
        <v>56</v>
      </c>
      <c r="J62" t="s">
        <v>39</v>
      </c>
      <c r="K62">
        <v>77.88</v>
      </c>
    </row>
    <row r="63" spans="1:11" x14ac:dyDescent="0.3">
      <c r="A63" t="s">
        <v>279</v>
      </c>
      <c r="B63">
        <f t="shared" si="0"/>
        <v>2015</v>
      </c>
      <c r="C63" s="6">
        <v>42112</v>
      </c>
      <c r="D63" s="6">
        <v>42104</v>
      </c>
      <c r="E63" t="s">
        <v>280</v>
      </c>
      <c r="F63" t="s">
        <v>281</v>
      </c>
      <c r="G63" t="s">
        <v>21</v>
      </c>
      <c r="H63" t="s">
        <v>22</v>
      </c>
      <c r="I63" t="s">
        <v>23</v>
      </c>
      <c r="J63" t="s">
        <v>17</v>
      </c>
      <c r="K63">
        <v>81.424000000000007</v>
      </c>
    </row>
    <row r="64" spans="1:11" x14ac:dyDescent="0.3">
      <c r="A64" t="s">
        <v>279</v>
      </c>
      <c r="B64">
        <f t="shared" si="0"/>
        <v>2015</v>
      </c>
      <c r="C64" s="6">
        <v>42112</v>
      </c>
      <c r="D64" s="6">
        <v>42116</v>
      </c>
      <c r="E64" t="s">
        <v>280</v>
      </c>
      <c r="F64" t="s">
        <v>281</v>
      </c>
      <c r="G64" t="s">
        <v>21</v>
      </c>
      <c r="H64" t="s">
        <v>22</v>
      </c>
      <c r="I64" t="s">
        <v>23</v>
      </c>
      <c r="J64" t="s">
        <v>35</v>
      </c>
      <c r="K64">
        <v>238.56</v>
      </c>
    </row>
    <row r="65" spans="1:11" x14ac:dyDescent="0.3">
      <c r="A65" t="s">
        <v>343</v>
      </c>
      <c r="B65">
        <f t="shared" si="0"/>
        <v>2015</v>
      </c>
      <c r="C65" s="6">
        <v>42112</v>
      </c>
      <c r="D65" s="6">
        <v>42116</v>
      </c>
      <c r="E65" t="s">
        <v>344</v>
      </c>
      <c r="F65" t="s">
        <v>345</v>
      </c>
      <c r="G65" t="s">
        <v>49</v>
      </c>
      <c r="H65" t="s">
        <v>50</v>
      </c>
      <c r="I65" t="s">
        <v>23</v>
      </c>
      <c r="J65" t="s">
        <v>38</v>
      </c>
      <c r="K65">
        <v>27.68</v>
      </c>
    </row>
    <row r="66" spans="1:11" x14ac:dyDescent="0.3">
      <c r="A66" t="s">
        <v>10</v>
      </c>
      <c r="B66">
        <f t="shared" si="0"/>
        <v>2015</v>
      </c>
      <c r="C66" s="6">
        <v>42112</v>
      </c>
      <c r="D66" s="6">
        <v>42116</v>
      </c>
      <c r="E66" t="s">
        <v>11</v>
      </c>
      <c r="F66" t="s">
        <v>12</v>
      </c>
      <c r="G66" t="s">
        <v>13</v>
      </c>
      <c r="H66" t="s">
        <v>14</v>
      </c>
      <c r="I66" t="s">
        <v>15</v>
      </c>
      <c r="J66" t="s">
        <v>16</v>
      </c>
      <c r="K66">
        <v>261.95999999999998</v>
      </c>
    </row>
    <row r="67" spans="1:11" x14ac:dyDescent="0.3">
      <c r="A67" t="s">
        <v>10</v>
      </c>
      <c r="B67">
        <f t="shared" ref="B67:B130" si="1">YEAR(C67)</f>
        <v>2015</v>
      </c>
      <c r="C67" s="6">
        <v>42120</v>
      </c>
      <c r="D67" s="6">
        <v>42116</v>
      </c>
      <c r="E67" t="s">
        <v>11</v>
      </c>
      <c r="F67" t="s">
        <v>12</v>
      </c>
      <c r="G67" t="s">
        <v>13</v>
      </c>
      <c r="H67" t="s">
        <v>14</v>
      </c>
      <c r="I67" t="s">
        <v>15</v>
      </c>
      <c r="J67" t="s">
        <v>17</v>
      </c>
      <c r="K67">
        <v>731.94</v>
      </c>
    </row>
    <row r="68" spans="1:11" x14ac:dyDescent="0.3">
      <c r="A68" t="s">
        <v>98</v>
      </c>
      <c r="B68">
        <f t="shared" si="1"/>
        <v>2015</v>
      </c>
      <c r="C68" s="6">
        <v>42120</v>
      </c>
      <c r="D68" s="6">
        <v>42126</v>
      </c>
      <c r="E68" t="s">
        <v>99</v>
      </c>
      <c r="F68" t="s">
        <v>100</v>
      </c>
      <c r="G68" t="s">
        <v>101</v>
      </c>
      <c r="H68" t="s">
        <v>55</v>
      </c>
      <c r="I68" t="s">
        <v>56</v>
      </c>
      <c r="J68" t="s">
        <v>37</v>
      </c>
      <c r="K68">
        <v>1097.5440000000001</v>
      </c>
    </row>
    <row r="69" spans="1:11" x14ac:dyDescent="0.3">
      <c r="A69" t="s">
        <v>98</v>
      </c>
      <c r="B69">
        <f t="shared" si="1"/>
        <v>2015</v>
      </c>
      <c r="C69" s="6">
        <v>42120</v>
      </c>
      <c r="D69" s="6">
        <v>42126</v>
      </c>
      <c r="E69" t="s">
        <v>99</v>
      </c>
      <c r="F69" t="s">
        <v>100</v>
      </c>
      <c r="G69" t="s">
        <v>101</v>
      </c>
      <c r="H69" t="s">
        <v>55</v>
      </c>
      <c r="I69" t="s">
        <v>56</v>
      </c>
      <c r="J69" t="s">
        <v>35</v>
      </c>
      <c r="K69">
        <v>190.92</v>
      </c>
    </row>
    <row r="70" spans="1:11" x14ac:dyDescent="0.3">
      <c r="A70" t="s">
        <v>71</v>
      </c>
      <c r="B70">
        <f t="shared" si="1"/>
        <v>2015</v>
      </c>
      <c r="C70" s="6">
        <v>42124</v>
      </c>
      <c r="D70" s="6">
        <v>42126</v>
      </c>
      <c r="E70" t="s">
        <v>72</v>
      </c>
      <c r="F70" t="s">
        <v>73</v>
      </c>
      <c r="G70" t="s">
        <v>74</v>
      </c>
      <c r="H70" t="s">
        <v>75</v>
      </c>
      <c r="I70" t="s">
        <v>56</v>
      </c>
      <c r="J70" t="s">
        <v>36</v>
      </c>
      <c r="K70">
        <v>19.46</v>
      </c>
    </row>
    <row r="71" spans="1:11" x14ac:dyDescent="0.3">
      <c r="A71" t="s">
        <v>71</v>
      </c>
      <c r="B71">
        <f t="shared" si="1"/>
        <v>2015</v>
      </c>
      <c r="C71" s="6">
        <v>42128</v>
      </c>
      <c r="D71" s="6">
        <v>42129</v>
      </c>
      <c r="E71" t="s">
        <v>72</v>
      </c>
      <c r="F71" t="s">
        <v>73</v>
      </c>
      <c r="G71" t="s">
        <v>74</v>
      </c>
      <c r="H71" t="s">
        <v>75</v>
      </c>
      <c r="I71" t="s">
        <v>56</v>
      </c>
      <c r="J71" t="s">
        <v>39</v>
      </c>
      <c r="K71">
        <v>60.34</v>
      </c>
    </row>
    <row r="72" spans="1:11" x14ac:dyDescent="0.3">
      <c r="A72" t="s">
        <v>117</v>
      </c>
      <c r="B72">
        <f t="shared" si="1"/>
        <v>2015</v>
      </c>
      <c r="C72" s="6">
        <v>42152</v>
      </c>
      <c r="D72" s="6">
        <v>42157</v>
      </c>
      <c r="E72" t="s">
        <v>118</v>
      </c>
      <c r="F72" t="s">
        <v>119</v>
      </c>
      <c r="G72" t="s">
        <v>120</v>
      </c>
      <c r="H72" t="s">
        <v>121</v>
      </c>
      <c r="I72" t="s">
        <v>56</v>
      </c>
      <c r="J72" t="s">
        <v>89</v>
      </c>
      <c r="K72">
        <v>45.98</v>
      </c>
    </row>
    <row r="73" spans="1:11" x14ac:dyDescent="0.3">
      <c r="A73" t="s">
        <v>117</v>
      </c>
      <c r="B73">
        <f t="shared" si="1"/>
        <v>2015</v>
      </c>
      <c r="C73" s="6">
        <v>42155</v>
      </c>
      <c r="D73" s="6">
        <v>42157</v>
      </c>
      <c r="E73" t="s">
        <v>118</v>
      </c>
      <c r="F73" t="s">
        <v>119</v>
      </c>
      <c r="G73" t="s">
        <v>120</v>
      </c>
      <c r="H73" t="s">
        <v>121</v>
      </c>
      <c r="I73" t="s">
        <v>56</v>
      </c>
      <c r="J73" t="s">
        <v>38</v>
      </c>
      <c r="K73">
        <v>17.46</v>
      </c>
    </row>
    <row r="74" spans="1:11" x14ac:dyDescent="0.3">
      <c r="A74" t="s">
        <v>332</v>
      </c>
      <c r="B74">
        <f t="shared" si="1"/>
        <v>2015</v>
      </c>
      <c r="C74" s="6">
        <v>42155</v>
      </c>
      <c r="D74" s="6">
        <v>42157</v>
      </c>
      <c r="E74" t="s">
        <v>333</v>
      </c>
      <c r="F74" t="s">
        <v>334</v>
      </c>
      <c r="G74" t="s">
        <v>21</v>
      </c>
      <c r="H74" t="s">
        <v>22</v>
      </c>
      <c r="I74" t="s">
        <v>23</v>
      </c>
      <c r="J74" t="s">
        <v>45</v>
      </c>
      <c r="K74">
        <v>5.98</v>
      </c>
    </row>
    <row r="75" spans="1:11" x14ac:dyDescent="0.3">
      <c r="A75" t="s">
        <v>137</v>
      </c>
      <c r="B75">
        <f t="shared" si="1"/>
        <v>2015</v>
      </c>
      <c r="C75" s="6">
        <v>42155</v>
      </c>
      <c r="D75" s="6">
        <v>42158</v>
      </c>
      <c r="E75" t="s">
        <v>138</v>
      </c>
      <c r="F75" t="s">
        <v>139</v>
      </c>
      <c r="G75" t="s">
        <v>140</v>
      </c>
      <c r="H75" t="s">
        <v>141</v>
      </c>
      <c r="I75" t="s">
        <v>81</v>
      </c>
      <c r="J75" t="s">
        <v>142</v>
      </c>
      <c r="K75">
        <v>15.26</v>
      </c>
    </row>
    <row r="76" spans="1:11" x14ac:dyDescent="0.3">
      <c r="A76" t="s">
        <v>137</v>
      </c>
      <c r="B76">
        <f t="shared" si="1"/>
        <v>2015</v>
      </c>
      <c r="C76" s="6">
        <v>42194</v>
      </c>
      <c r="D76" s="6">
        <v>42232</v>
      </c>
      <c r="E76" t="s">
        <v>138</v>
      </c>
      <c r="F76" t="s">
        <v>139</v>
      </c>
      <c r="G76" t="s">
        <v>140</v>
      </c>
      <c r="H76" t="s">
        <v>141</v>
      </c>
      <c r="I76" t="s">
        <v>81</v>
      </c>
      <c r="J76" t="s">
        <v>37</v>
      </c>
      <c r="K76">
        <v>1029.95</v>
      </c>
    </row>
    <row r="77" spans="1:11" x14ac:dyDescent="0.3">
      <c r="A77" t="s">
        <v>18</v>
      </c>
      <c r="B77">
        <f t="shared" si="1"/>
        <v>2015</v>
      </c>
      <c r="C77" s="6">
        <v>42249</v>
      </c>
      <c r="D77" s="6">
        <v>42232</v>
      </c>
      <c r="E77" t="s">
        <v>19</v>
      </c>
      <c r="F77" t="s">
        <v>20</v>
      </c>
      <c r="G77" t="s">
        <v>21</v>
      </c>
      <c r="H77" t="s">
        <v>22</v>
      </c>
      <c r="I77" t="s">
        <v>23</v>
      </c>
      <c r="J77" t="s">
        <v>24</v>
      </c>
      <c r="K77">
        <v>14.62</v>
      </c>
    </row>
    <row r="78" spans="1:11" x14ac:dyDescent="0.3">
      <c r="A78" t="s">
        <v>178</v>
      </c>
      <c r="B78">
        <f t="shared" si="1"/>
        <v>2015</v>
      </c>
      <c r="C78" s="6">
        <v>42255</v>
      </c>
      <c r="D78" s="6">
        <v>42232</v>
      </c>
      <c r="E78" t="s">
        <v>179</v>
      </c>
      <c r="F78" t="s">
        <v>180</v>
      </c>
      <c r="G78" t="s">
        <v>181</v>
      </c>
      <c r="H78" t="s">
        <v>182</v>
      </c>
      <c r="I78" t="s">
        <v>15</v>
      </c>
      <c r="J78" t="s">
        <v>39</v>
      </c>
      <c r="K78">
        <v>208.16</v>
      </c>
    </row>
    <row r="79" spans="1:11" x14ac:dyDescent="0.3">
      <c r="A79" t="s">
        <v>178</v>
      </c>
      <c r="B79">
        <f t="shared" si="1"/>
        <v>2015</v>
      </c>
      <c r="C79" s="6">
        <v>42255</v>
      </c>
      <c r="D79" s="6">
        <v>42255</v>
      </c>
      <c r="E79" t="s">
        <v>179</v>
      </c>
      <c r="F79" t="s">
        <v>180</v>
      </c>
      <c r="G79" t="s">
        <v>181</v>
      </c>
      <c r="H79" t="s">
        <v>182</v>
      </c>
      <c r="I79" t="s">
        <v>15</v>
      </c>
      <c r="J79" t="s">
        <v>38</v>
      </c>
      <c r="K79">
        <v>16.739999999999998</v>
      </c>
    </row>
    <row r="80" spans="1:11" x14ac:dyDescent="0.3">
      <c r="A80" t="s">
        <v>264</v>
      </c>
      <c r="B80">
        <f t="shared" si="1"/>
        <v>2015</v>
      </c>
      <c r="C80" s="6">
        <v>42255</v>
      </c>
      <c r="D80" s="6">
        <v>42259</v>
      </c>
      <c r="E80" t="s">
        <v>265</v>
      </c>
      <c r="F80" t="s">
        <v>266</v>
      </c>
      <c r="G80" t="s">
        <v>267</v>
      </c>
      <c r="H80" t="s">
        <v>131</v>
      </c>
      <c r="I80" t="s">
        <v>81</v>
      </c>
      <c r="J80" t="s">
        <v>35</v>
      </c>
      <c r="K80">
        <v>47.04</v>
      </c>
    </row>
    <row r="81" spans="1:11" x14ac:dyDescent="0.3">
      <c r="A81" t="s">
        <v>264</v>
      </c>
      <c r="B81">
        <f t="shared" si="1"/>
        <v>2015</v>
      </c>
      <c r="C81" s="6">
        <v>42264</v>
      </c>
      <c r="D81" s="6">
        <v>42268</v>
      </c>
      <c r="E81" t="s">
        <v>265</v>
      </c>
      <c r="F81" t="s">
        <v>266</v>
      </c>
      <c r="G81" t="s">
        <v>267</v>
      </c>
      <c r="H81" t="s">
        <v>131</v>
      </c>
      <c r="I81" t="s">
        <v>81</v>
      </c>
      <c r="J81" t="s">
        <v>38</v>
      </c>
      <c r="K81">
        <v>30.84</v>
      </c>
    </row>
    <row r="82" spans="1:11" x14ac:dyDescent="0.3">
      <c r="A82" t="s">
        <v>264</v>
      </c>
      <c r="B82">
        <f t="shared" si="1"/>
        <v>2015</v>
      </c>
      <c r="C82" s="6">
        <v>42264</v>
      </c>
      <c r="D82" s="6">
        <v>42268</v>
      </c>
      <c r="E82" t="s">
        <v>265</v>
      </c>
      <c r="F82" t="s">
        <v>266</v>
      </c>
      <c r="G82" t="s">
        <v>267</v>
      </c>
      <c r="H82" t="s">
        <v>131</v>
      </c>
      <c r="I82" t="s">
        <v>81</v>
      </c>
      <c r="J82" t="s">
        <v>31</v>
      </c>
      <c r="K82">
        <v>226.56</v>
      </c>
    </row>
    <row r="83" spans="1:11" x14ac:dyDescent="0.3">
      <c r="A83" t="s">
        <v>264</v>
      </c>
      <c r="B83">
        <f t="shared" si="1"/>
        <v>2015</v>
      </c>
      <c r="C83" s="6">
        <v>42264</v>
      </c>
      <c r="D83" s="6">
        <v>42268</v>
      </c>
      <c r="E83" t="s">
        <v>265</v>
      </c>
      <c r="F83" t="s">
        <v>266</v>
      </c>
      <c r="G83" t="s">
        <v>267</v>
      </c>
      <c r="H83" t="s">
        <v>131</v>
      </c>
      <c r="I83" t="s">
        <v>81</v>
      </c>
      <c r="J83" t="s">
        <v>93</v>
      </c>
      <c r="K83">
        <v>115.02</v>
      </c>
    </row>
    <row r="84" spans="1:11" x14ac:dyDescent="0.3">
      <c r="A84" t="s">
        <v>264</v>
      </c>
      <c r="B84">
        <f t="shared" si="1"/>
        <v>2015</v>
      </c>
      <c r="C84" s="6">
        <v>42264</v>
      </c>
      <c r="D84" s="6">
        <v>42268</v>
      </c>
      <c r="E84" t="s">
        <v>265</v>
      </c>
      <c r="F84" t="s">
        <v>266</v>
      </c>
      <c r="G84" t="s">
        <v>267</v>
      </c>
      <c r="H84" t="s">
        <v>131</v>
      </c>
      <c r="I84" t="s">
        <v>81</v>
      </c>
      <c r="J84" t="s">
        <v>37</v>
      </c>
      <c r="K84">
        <v>68.040000000000006</v>
      </c>
    </row>
    <row r="85" spans="1:11" x14ac:dyDescent="0.3">
      <c r="A85" t="s">
        <v>422</v>
      </c>
      <c r="B85">
        <f t="shared" si="1"/>
        <v>2015</v>
      </c>
      <c r="C85" s="6">
        <v>42264</v>
      </c>
      <c r="D85" s="6">
        <v>42268</v>
      </c>
      <c r="E85" t="s">
        <v>423</v>
      </c>
      <c r="F85" t="s">
        <v>424</v>
      </c>
      <c r="G85" t="s">
        <v>425</v>
      </c>
      <c r="H85" t="s">
        <v>126</v>
      </c>
      <c r="I85" t="s">
        <v>56</v>
      </c>
      <c r="J85" t="s">
        <v>31</v>
      </c>
      <c r="K85">
        <v>83.92</v>
      </c>
    </row>
    <row r="86" spans="1:11" x14ac:dyDescent="0.3">
      <c r="A86" t="s">
        <v>422</v>
      </c>
      <c r="B86">
        <f t="shared" si="1"/>
        <v>2015</v>
      </c>
      <c r="C86" s="6">
        <v>42264</v>
      </c>
      <c r="D86" s="6">
        <v>42268</v>
      </c>
      <c r="E86" t="s">
        <v>423</v>
      </c>
      <c r="F86" t="s">
        <v>424</v>
      </c>
      <c r="G86" t="s">
        <v>425</v>
      </c>
      <c r="H86" t="s">
        <v>126</v>
      </c>
      <c r="I86" t="s">
        <v>56</v>
      </c>
      <c r="J86" t="s">
        <v>37</v>
      </c>
      <c r="K86">
        <v>131.97999999999999</v>
      </c>
    </row>
    <row r="87" spans="1:11" x14ac:dyDescent="0.3">
      <c r="A87" t="s">
        <v>422</v>
      </c>
      <c r="B87">
        <f t="shared" si="1"/>
        <v>2015</v>
      </c>
      <c r="C87" s="6">
        <v>42264</v>
      </c>
      <c r="D87" s="6">
        <v>42268</v>
      </c>
      <c r="E87" t="s">
        <v>423</v>
      </c>
      <c r="F87" t="s">
        <v>424</v>
      </c>
      <c r="G87" t="s">
        <v>425</v>
      </c>
      <c r="H87" t="s">
        <v>126</v>
      </c>
      <c r="I87" t="s">
        <v>56</v>
      </c>
      <c r="J87" t="s">
        <v>38</v>
      </c>
      <c r="K87">
        <v>15.92</v>
      </c>
    </row>
    <row r="88" spans="1:11" x14ac:dyDescent="0.3">
      <c r="A88" t="s">
        <v>422</v>
      </c>
      <c r="B88">
        <f t="shared" si="1"/>
        <v>2015</v>
      </c>
      <c r="C88" s="6">
        <v>42272</v>
      </c>
      <c r="D88" s="6">
        <v>42277</v>
      </c>
      <c r="E88" t="s">
        <v>423</v>
      </c>
      <c r="F88" t="s">
        <v>424</v>
      </c>
      <c r="G88" t="s">
        <v>425</v>
      </c>
      <c r="H88" t="s">
        <v>126</v>
      </c>
      <c r="I88" t="s">
        <v>56</v>
      </c>
      <c r="J88" t="s">
        <v>142</v>
      </c>
      <c r="K88">
        <v>52.29</v>
      </c>
    </row>
    <row r="89" spans="1:11" x14ac:dyDescent="0.3">
      <c r="A89" t="s">
        <v>422</v>
      </c>
      <c r="B89">
        <f t="shared" si="1"/>
        <v>2015</v>
      </c>
      <c r="C89" s="6">
        <v>42292</v>
      </c>
      <c r="D89" s="6">
        <v>42291</v>
      </c>
      <c r="E89" t="s">
        <v>423</v>
      </c>
      <c r="F89" t="s">
        <v>424</v>
      </c>
      <c r="G89" t="s">
        <v>425</v>
      </c>
      <c r="H89" t="s">
        <v>126</v>
      </c>
      <c r="I89" t="s">
        <v>56</v>
      </c>
      <c r="J89" t="s">
        <v>31</v>
      </c>
      <c r="K89">
        <v>91.99</v>
      </c>
    </row>
    <row r="90" spans="1:11" x14ac:dyDescent="0.3">
      <c r="A90" t="s">
        <v>282</v>
      </c>
      <c r="B90">
        <f t="shared" si="1"/>
        <v>2015</v>
      </c>
      <c r="C90" s="6">
        <v>42308</v>
      </c>
      <c r="D90" s="6">
        <v>42291</v>
      </c>
      <c r="E90" t="s">
        <v>283</v>
      </c>
      <c r="F90" t="s">
        <v>284</v>
      </c>
      <c r="G90" t="s">
        <v>255</v>
      </c>
      <c r="H90" t="s">
        <v>256</v>
      </c>
      <c r="I90" t="s">
        <v>81</v>
      </c>
      <c r="J90" t="s">
        <v>37</v>
      </c>
      <c r="K90">
        <v>59.97</v>
      </c>
    </row>
    <row r="91" spans="1:11" x14ac:dyDescent="0.3">
      <c r="A91" t="s">
        <v>282</v>
      </c>
      <c r="B91">
        <f t="shared" si="1"/>
        <v>2015</v>
      </c>
      <c r="C91" s="6">
        <v>42318</v>
      </c>
      <c r="D91" s="6">
        <v>42291</v>
      </c>
      <c r="E91" t="s">
        <v>283</v>
      </c>
      <c r="F91" t="s">
        <v>284</v>
      </c>
      <c r="G91" t="s">
        <v>255</v>
      </c>
      <c r="H91" t="s">
        <v>256</v>
      </c>
      <c r="I91" t="s">
        <v>81</v>
      </c>
      <c r="J91" t="s">
        <v>45</v>
      </c>
      <c r="K91">
        <v>78.304000000000002</v>
      </c>
    </row>
    <row r="92" spans="1:11" x14ac:dyDescent="0.3">
      <c r="A92" t="s">
        <v>282</v>
      </c>
      <c r="B92">
        <f t="shared" si="1"/>
        <v>2015</v>
      </c>
      <c r="C92" s="6">
        <v>42318</v>
      </c>
      <c r="D92" s="6">
        <v>42291</v>
      </c>
      <c r="E92" t="s">
        <v>283</v>
      </c>
      <c r="F92" t="s">
        <v>284</v>
      </c>
      <c r="G92" t="s">
        <v>255</v>
      </c>
      <c r="H92" t="s">
        <v>256</v>
      </c>
      <c r="I92" t="s">
        <v>81</v>
      </c>
      <c r="J92" t="s">
        <v>142</v>
      </c>
      <c r="K92">
        <v>21.456</v>
      </c>
    </row>
    <row r="93" spans="1:11" x14ac:dyDescent="0.3">
      <c r="A93" t="s">
        <v>415</v>
      </c>
      <c r="B93">
        <f t="shared" si="1"/>
        <v>2015</v>
      </c>
      <c r="C93" s="6">
        <v>42321</v>
      </c>
      <c r="D93" s="6">
        <v>42291</v>
      </c>
      <c r="E93" t="s">
        <v>416</v>
      </c>
      <c r="F93" t="s">
        <v>417</v>
      </c>
      <c r="G93" t="s">
        <v>312</v>
      </c>
      <c r="H93" t="s">
        <v>173</v>
      </c>
      <c r="I93" t="s">
        <v>15</v>
      </c>
      <c r="J93" t="s">
        <v>35</v>
      </c>
      <c r="K93">
        <v>35.167999999999999</v>
      </c>
    </row>
    <row r="94" spans="1:11" x14ac:dyDescent="0.3">
      <c r="A94" t="s">
        <v>275</v>
      </c>
      <c r="B94">
        <f t="shared" si="1"/>
        <v>2015</v>
      </c>
      <c r="C94" s="6">
        <v>42321</v>
      </c>
      <c r="D94" s="6">
        <v>42295</v>
      </c>
      <c r="E94" t="s">
        <v>276</v>
      </c>
      <c r="F94" t="s">
        <v>277</v>
      </c>
      <c r="G94" t="s">
        <v>278</v>
      </c>
      <c r="H94" t="s">
        <v>158</v>
      </c>
      <c r="I94" t="s">
        <v>23</v>
      </c>
      <c r="J94" t="s">
        <v>38</v>
      </c>
      <c r="K94">
        <v>2.3879999999999999</v>
      </c>
    </row>
    <row r="95" spans="1:11" x14ac:dyDescent="0.3">
      <c r="A95" t="s">
        <v>275</v>
      </c>
      <c r="B95">
        <f t="shared" si="1"/>
        <v>2015</v>
      </c>
      <c r="C95" s="6">
        <v>42321</v>
      </c>
      <c r="D95" s="6">
        <v>42295</v>
      </c>
      <c r="E95" t="s">
        <v>276</v>
      </c>
      <c r="F95" t="s">
        <v>277</v>
      </c>
      <c r="G95" t="s">
        <v>278</v>
      </c>
      <c r="H95" t="s">
        <v>158</v>
      </c>
      <c r="I95" t="s">
        <v>23</v>
      </c>
      <c r="J95" t="s">
        <v>31</v>
      </c>
      <c r="K95">
        <v>243.99199999999999</v>
      </c>
    </row>
    <row r="96" spans="1:11" x14ac:dyDescent="0.3">
      <c r="A96" t="s">
        <v>400</v>
      </c>
      <c r="B96">
        <f t="shared" si="1"/>
        <v>2015</v>
      </c>
      <c r="C96" s="6">
        <v>42329</v>
      </c>
      <c r="D96" s="6">
        <v>42297</v>
      </c>
      <c r="E96" t="s">
        <v>401</v>
      </c>
      <c r="F96" t="s">
        <v>402</v>
      </c>
      <c r="G96" t="s">
        <v>79</v>
      </c>
      <c r="H96" t="s">
        <v>80</v>
      </c>
      <c r="I96" t="s">
        <v>81</v>
      </c>
      <c r="J96" t="s">
        <v>38</v>
      </c>
      <c r="K96">
        <v>2.9460000000000002</v>
      </c>
    </row>
    <row r="97" spans="1:11" x14ac:dyDescent="0.3">
      <c r="A97" t="s">
        <v>400</v>
      </c>
      <c r="B97">
        <f t="shared" si="1"/>
        <v>2015</v>
      </c>
      <c r="C97" s="6">
        <v>42329</v>
      </c>
      <c r="D97" s="6">
        <v>42314</v>
      </c>
      <c r="E97" t="s">
        <v>401</v>
      </c>
      <c r="F97" t="s">
        <v>402</v>
      </c>
      <c r="G97" t="s">
        <v>79</v>
      </c>
      <c r="H97" t="s">
        <v>80</v>
      </c>
      <c r="I97" t="s">
        <v>81</v>
      </c>
      <c r="J97" t="s">
        <v>45</v>
      </c>
      <c r="K97">
        <v>16.056000000000001</v>
      </c>
    </row>
    <row r="98" spans="1:11" x14ac:dyDescent="0.3">
      <c r="A98" t="s">
        <v>210</v>
      </c>
      <c r="B98">
        <f t="shared" si="1"/>
        <v>2015</v>
      </c>
      <c r="C98" s="6">
        <v>42330</v>
      </c>
      <c r="D98" s="6">
        <v>42325</v>
      </c>
      <c r="E98" t="s">
        <v>211</v>
      </c>
      <c r="F98" t="s">
        <v>212</v>
      </c>
      <c r="G98" t="s">
        <v>213</v>
      </c>
      <c r="H98" t="s">
        <v>214</v>
      </c>
      <c r="I98" t="s">
        <v>23</v>
      </c>
      <c r="J98" t="s">
        <v>38</v>
      </c>
      <c r="K98">
        <v>5.6820000000000004</v>
      </c>
    </row>
    <row r="99" spans="1:11" x14ac:dyDescent="0.3">
      <c r="A99" t="s">
        <v>395</v>
      </c>
      <c r="B99">
        <f t="shared" si="1"/>
        <v>2015</v>
      </c>
      <c r="C99" s="6">
        <v>42330</v>
      </c>
      <c r="D99" s="6">
        <v>42325</v>
      </c>
      <c r="E99" t="s">
        <v>396</v>
      </c>
      <c r="F99" t="s">
        <v>397</v>
      </c>
      <c r="G99" t="s">
        <v>398</v>
      </c>
      <c r="H99" t="s">
        <v>399</v>
      </c>
      <c r="I99" t="s">
        <v>81</v>
      </c>
      <c r="J99" t="s">
        <v>31</v>
      </c>
      <c r="K99">
        <v>46.26</v>
      </c>
    </row>
    <row r="100" spans="1:11" x14ac:dyDescent="0.3">
      <c r="A100" t="s">
        <v>450</v>
      </c>
      <c r="B100">
        <f t="shared" si="1"/>
        <v>2015</v>
      </c>
      <c r="C100" s="6">
        <v>42332</v>
      </c>
      <c r="D100" s="6">
        <v>42325</v>
      </c>
      <c r="E100" t="s">
        <v>191</v>
      </c>
      <c r="F100" t="s">
        <v>192</v>
      </c>
      <c r="G100" t="s">
        <v>451</v>
      </c>
      <c r="H100" t="s">
        <v>29</v>
      </c>
      <c r="I100" t="s">
        <v>15</v>
      </c>
      <c r="J100" t="s">
        <v>30</v>
      </c>
      <c r="K100">
        <v>233.86</v>
      </c>
    </row>
    <row r="101" spans="1:11" x14ac:dyDescent="0.3">
      <c r="A101" t="s">
        <v>450</v>
      </c>
      <c r="B101">
        <f t="shared" si="1"/>
        <v>2015</v>
      </c>
      <c r="C101" s="6">
        <v>42332</v>
      </c>
      <c r="D101" s="6">
        <v>42331</v>
      </c>
      <c r="E101" t="s">
        <v>191</v>
      </c>
      <c r="F101" t="s">
        <v>192</v>
      </c>
      <c r="G101" t="s">
        <v>451</v>
      </c>
      <c r="H101" t="s">
        <v>29</v>
      </c>
      <c r="I101" t="s">
        <v>15</v>
      </c>
      <c r="J101" t="s">
        <v>30</v>
      </c>
      <c r="K101">
        <v>620.61450000000002</v>
      </c>
    </row>
    <row r="102" spans="1:11" x14ac:dyDescent="0.3">
      <c r="A102" t="s">
        <v>450</v>
      </c>
      <c r="B102">
        <f t="shared" si="1"/>
        <v>2015</v>
      </c>
      <c r="C102" s="6">
        <v>42332</v>
      </c>
      <c r="D102" s="6">
        <v>42331</v>
      </c>
      <c r="E102" t="s">
        <v>191</v>
      </c>
      <c r="F102" t="s">
        <v>192</v>
      </c>
      <c r="G102" t="s">
        <v>451</v>
      </c>
      <c r="H102" t="s">
        <v>29</v>
      </c>
      <c r="I102" t="s">
        <v>15</v>
      </c>
      <c r="J102" t="s">
        <v>38</v>
      </c>
      <c r="K102">
        <v>5.3280000000000003</v>
      </c>
    </row>
    <row r="103" spans="1:11" x14ac:dyDescent="0.3">
      <c r="A103" t="s">
        <v>450</v>
      </c>
      <c r="B103">
        <f t="shared" si="1"/>
        <v>2015</v>
      </c>
      <c r="C103" s="6">
        <v>42332</v>
      </c>
      <c r="D103" s="6">
        <v>42334</v>
      </c>
      <c r="E103" t="s">
        <v>191</v>
      </c>
      <c r="F103" t="s">
        <v>192</v>
      </c>
      <c r="G103" t="s">
        <v>451</v>
      </c>
      <c r="H103" t="s">
        <v>29</v>
      </c>
      <c r="I103" t="s">
        <v>15</v>
      </c>
      <c r="J103" t="s">
        <v>35</v>
      </c>
      <c r="K103">
        <v>258.072</v>
      </c>
    </row>
    <row r="104" spans="1:11" x14ac:dyDescent="0.3">
      <c r="A104" t="s">
        <v>450</v>
      </c>
      <c r="B104">
        <f t="shared" si="1"/>
        <v>2015</v>
      </c>
      <c r="C104" s="6">
        <v>42348</v>
      </c>
      <c r="D104" s="6">
        <v>42334</v>
      </c>
      <c r="E104" t="s">
        <v>191</v>
      </c>
      <c r="F104" t="s">
        <v>192</v>
      </c>
      <c r="G104" t="s">
        <v>451</v>
      </c>
      <c r="H104" t="s">
        <v>29</v>
      </c>
      <c r="I104" t="s">
        <v>15</v>
      </c>
      <c r="J104" t="s">
        <v>89</v>
      </c>
      <c r="K104">
        <v>617.976</v>
      </c>
    </row>
    <row r="105" spans="1:11" x14ac:dyDescent="0.3">
      <c r="A105" t="s">
        <v>215</v>
      </c>
      <c r="B105">
        <f t="shared" si="1"/>
        <v>2015</v>
      </c>
      <c r="C105" s="6">
        <v>42348</v>
      </c>
      <c r="D105" s="6">
        <v>42338</v>
      </c>
      <c r="E105" t="s">
        <v>216</v>
      </c>
      <c r="F105" t="s">
        <v>217</v>
      </c>
      <c r="G105" t="s">
        <v>140</v>
      </c>
      <c r="H105" t="s">
        <v>141</v>
      </c>
      <c r="I105" t="s">
        <v>81</v>
      </c>
      <c r="J105" t="s">
        <v>35</v>
      </c>
      <c r="K105">
        <v>96.53</v>
      </c>
    </row>
    <row r="106" spans="1:11" x14ac:dyDescent="0.3">
      <c r="A106" t="s">
        <v>174</v>
      </c>
      <c r="B106">
        <f t="shared" si="1"/>
        <v>2015</v>
      </c>
      <c r="C106" s="6">
        <v>42348</v>
      </c>
      <c r="D106" s="6">
        <v>42338</v>
      </c>
      <c r="E106" t="s">
        <v>175</v>
      </c>
      <c r="F106" t="s">
        <v>176</v>
      </c>
      <c r="G106" t="s">
        <v>97</v>
      </c>
      <c r="H106" t="s">
        <v>55</v>
      </c>
      <c r="I106" t="s">
        <v>56</v>
      </c>
      <c r="J106" t="s">
        <v>38</v>
      </c>
      <c r="K106">
        <v>1.248</v>
      </c>
    </row>
    <row r="107" spans="1:11" x14ac:dyDescent="0.3">
      <c r="A107" t="s">
        <v>174</v>
      </c>
      <c r="B107">
        <f t="shared" si="1"/>
        <v>2015</v>
      </c>
      <c r="C107" s="6">
        <v>42348</v>
      </c>
      <c r="D107" s="6">
        <v>42338</v>
      </c>
      <c r="E107" t="s">
        <v>175</v>
      </c>
      <c r="F107" t="s">
        <v>176</v>
      </c>
      <c r="G107" t="s">
        <v>97</v>
      </c>
      <c r="H107" t="s">
        <v>55</v>
      </c>
      <c r="I107" t="s">
        <v>56</v>
      </c>
      <c r="J107" t="s">
        <v>35</v>
      </c>
      <c r="K107">
        <v>9.7080000000000002</v>
      </c>
    </row>
    <row r="108" spans="1:11" x14ac:dyDescent="0.3">
      <c r="A108" t="s">
        <v>174</v>
      </c>
      <c r="B108">
        <f t="shared" si="1"/>
        <v>2015</v>
      </c>
      <c r="C108" s="6">
        <v>42348</v>
      </c>
      <c r="D108" s="6">
        <v>42338</v>
      </c>
      <c r="E108" t="s">
        <v>175</v>
      </c>
      <c r="F108" t="s">
        <v>176</v>
      </c>
      <c r="G108" t="s">
        <v>97</v>
      </c>
      <c r="H108" t="s">
        <v>55</v>
      </c>
      <c r="I108" t="s">
        <v>56</v>
      </c>
      <c r="J108" t="s">
        <v>31</v>
      </c>
      <c r="K108">
        <v>27.24</v>
      </c>
    </row>
    <row r="109" spans="1:11" x14ac:dyDescent="0.3">
      <c r="A109" t="s">
        <v>418</v>
      </c>
      <c r="B109">
        <f t="shared" si="1"/>
        <v>2015</v>
      </c>
      <c r="C109" s="6">
        <v>42353</v>
      </c>
      <c r="D109" s="6">
        <v>42357</v>
      </c>
      <c r="E109" t="s">
        <v>419</v>
      </c>
      <c r="F109" t="s">
        <v>420</v>
      </c>
      <c r="G109" t="s">
        <v>421</v>
      </c>
      <c r="H109" t="s">
        <v>22</v>
      </c>
      <c r="I109" t="s">
        <v>23</v>
      </c>
      <c r="J109" t="s">
        <v>37</v>
      </c>
      <c r="K109">
        <v>444.76799999999997</v>
      </c>
    </row>
    <row r="110" spans="1:11" x14ac:dyDescent="0.3">
      <c r="A110" t="s">
        <v>105</v>
      </c>
      <c r="B110">
        <f t="shared" si="1"/>
        <v>2015</v>
      </c>
      <c r="C110" s="6">
        <v>42362</v>
      </c>
      <c r="D110" s="6">
        <v>42365</v>
      </c>
      <c r="E110" t="s">
        <v>106</v>
      </c>
      <c r="F110" t="s">
        <v>107</v>
      </c>
      <c r="G110" t="s">
        <v>108</v>
      </c>
      <c r="H110" t="s">
        <v>109</v>
      </c>
      <c r="I110" t="s">
        <v>56</v>
      </c>
      <c r="J110" t="s">
        <v>37</v>
      </c>
      <c r="K110">
        <v>147.16800000000001</v>
      </c>
    </row>
    <row r="111" spans="1:11" x14ac:dyDescent="0.3">
      <c r="A111" t="s">
        <v>452</v>
      </c>
      <c r="B111">
        <f t="shared" si="1"/>
        <v>2015</v>
      </c>
      <c r="C111" s="6">
        <v>42362</v>
      </c>
      <c r="D111" s="6">
        <v>42365</v>
      </c>
      <c r="E111" t="s">
        <v>453</v>
      </c>
      <c r="F111" t="s">
        <v>454</v>
      </c>
      <c r="G111" t="s">
        <v>455</v>
      </c>
      <c r="H111" t="s">
        <v>22</v>
      </c>
      <c r="I111" t="s">
        <v>23</v>
      </c>
      <c r="J111" t="s">
        <v>45</v>
      </c>
      <c r="K111">
        <v>10.56</v>
      </c>
    </row>
    <row r="112" spans="1:11" x14ac:dyDescent="0.3">
      <c r="A112" t="s">
        <v>86</v>
      </c>
      <c r="B112">
        <f t="shared" si="1"/>
        <v>2015</v>
      </c>
      <c r="C112" s="6">
        <v>42362</v>
      </c>
      <c r="D112" s="6">
        <v>42365</v>
      </c>
      <c r="E112" t="s">
        <v>87</v>
      </c>
      <c r="F112" t="s">
        <v>88</v>
      </c>
      <c r="G112" t="s">
        <v>21</v>
      </c>
      <c r="H112" t="s">
        <v>22</v>
      </c>
      <c r="I112" t="s">
        <v>23</v>
      </c>
      <c r="J112" t="s">
        <v>38</v>
      </c>
      <c r="K112">
        <v>11.648</v>
      </c>
    </row>
    <row r="113" spans="1:11" x14ac:dyDescent="0.3">
      <c r="A113" t="s">
        <v>86</v>
      </c>
      <c r="B113">
        <f t="shared" si="1"/>
        <v>2015</v>
      </c>
      <c r="C113" s="6">
        <v>42362</v>
      </c>
      <c r="D113" s="6">
        <v>42365</v>
      </c>
      <c r="E113" t="s">
        <v>87</v>
      </c>
      <c r="F113" t="s">
        <v>88</v>
      </c>
      <c r="G113" t="s">
        <v>21</v>
      </c>
      <c r="H113" t="s">
        <v>22</v>
      </c>
      <c r="I113" t="s">
        <v>23</v>
      </c>
      <c r="J113" t="s">
        <v>89</v>
      </c>
      <c r="K113">
        <v>90.57</v>
      </c>
    </row>
    <row r="114" spans="1:11" x14ac:dyDescent="0.3">
      <c r="A114" t="s">
        <v>206</v>
      </c>
      <c r="B114">
        <f t="shared" si="1"/>
        <v>2015</v>
      </c>
      <c r="C114" s="6">
        <v>42362</v>
      </c>
      <c r="D114" s="6">
        <v>42365</v>
      </c>
      <c r="E114" t="s">
        <v>207</v>
      </c>
      <c r="F114" t="s">
        <v>208</v>
      </c>
      <c r="G114" t="s">
        <v>209</v>
      </c>
      <c r="H114" t="s">
        <v>121</v>
      </c>
      <c r="I114" t="s">
        <v>56</v>
      </c>
      <c r="J114" t="s">
        <v>45</v>
      </c>
      <c r="K114">
        <v>12.96</v>
      </c>
    </row>
    <row r="115" spans="1:11" x14ac:dyDescent="0.3">
      <c r="A115" t="s">
        <v>206</v>
      </c>
      <c r="B115">
        <f t="shared" si="1"/>
        <v>2015</v>
      </c>
      <c r="C115" s="6">
        <v>42362</v>
      </c>
      <c r="D115" s="6">
        <v>42365</v>
      </c>
      <c r="E115" t="s">
        <v>207</v>
      </c>
      <c r="F115" t="s">
        <v>208</v>
      </c>
      <c r="G115" t="s">
        <v>209</v>
      </c>
      <c r="H115" t="s">
        <v>121</v>
      </c>
      <c r="I115" t="s">
        <v>56</v>
      </c>
      <c r="J115" t="s">
        <v>35</v>
      </c>
      <c r="K115">
        <v>53.34</v>
      </c>
    </row>
    <row r="116" spans="1:11" x14ac:dyDescent="0.3">
      <c r="A116" t="s">
        <v>206</v>
      </c>
      <c r="B116">
        <f t="shared" si="1"/>
        <v>2015</v>
      </c>
      <c r="C116" s="6">
        <v>42365</v>
      </c>
      <c r="D116" s="6">
        <v>42369</v>
      </c>
      <c r="E116" t="s">
        <v>207</v>
      </c>
      <c r="F116" t="s">
        <v>208</v>
      </c>
      <c r="G116" t="s">
        <v>209</v>
      </c>
      <c r="H116" t="s">
        <v>121</v>
      </c>
      <c r="I116" t="s">
        <v>56</v>
      </c>
      <c r="J116" t="s">
        <v>38</v>
      </c>
      <c r="K116">
        <v>32.96</v>
      </c>
    </row>
    <row r="117" spans="1:11" x14ac:dyDescent="0.3">
      <c r="A117" t="s">
        <v>285</v>
      </c>
      <c r="B117">
        <f t="shared" si="1"/>
        <v>2015</v>
      </c>
      <c r="C117" s="6">
        <v>42365</v>
      </c>
      <c r="D117" s="6">
        <v>42369</v>
      </c>
      <c r="E117" t="s">
        <v>286</v>
      </c>
      <c r="F117" t="s">
        <v>287</v>
      </c>
      <c r="G117" t="s">
        <v>288</v>
      </c>
      <c r="H117" t="s">
        <v>22</v>
      </c>
      <c r="I117" t="s">
        <v>23</v>
      </c>
      <c r="J117" t="s">
        <v>45</v>
      </c>
      <c r="K117">
        <v>20.04</v>
      </c>
    </row>
    <row r="118" spans="1:11" x14ac:dyDescent="0.3">
      <c r="A118" t="s">
        <v>285</v>
      </c>
      <c r="B118">
        <f t="shared" si="1"/>
        <v>2015</v>
      </c>
      <c r="C118" s="6">
        <v>42365</v>
      </c>
      <c r="D118" s="6">
        <v>42369</v>
      </c>
      <c r="E118" t="s">
        <v>286</v>
      </c>
      <c r="F118" t="s">
        <v>287</v>
      </c>
      <c r="G118" t="s">
        <v>288</v>
      </c>
      <c r="H118" t="s">
        <v>22</v>
      </c>
      <c r="I118" t="s">
        <v>23</v>
      </c>
      <c r="J118" t="s">
        <v>45</v>
      </c>
      <c r="K118">
        <v>35.44</v>
      </c>
    </row>
    <row r="119" spans="1:11" x14ac:dyDescent="0.3">
      <c r="A119" t="s">
        <v>285</v>
      </c>
      <c r="B119">
        <f t="shared" si="1"/>
        <v>2015</v>
      </c>
      <c r="C119" s="6">
        <v>42365</v>
      </c>
      <c r="D119" s="6">
        <v>42369</v>
      </c>
      <c r="E119" t="s">
        <v>286</v>
      </c>
      <c r="F119" t="s">
        <v>287</v>
      </c>
      <c r="G119" t="s">
        <v>288</v>
      </c>
      <c r="H119" t="s">
        <v>22</v>
      </c>
      <c r="I119" t="s">
        <v>23</v>
      </c>
      <c r="J119" t="s">
        <v>36</v>
      </c>
      <c r="K119">
        <v>11.52</v>
      </c>
    </row>
    <row r="120" spans="1:11" x14ac:dyDescent="0.3">
      <c r="A120" t="s">
        <v>285</v>
      </c>
      <c r="B120">
        <f t="shared" si="1"/>
        <v>2015</v>
      </c>
      <c r="C120" s="6">
        <v>42366</v>
      </c>
      <c r="D120" s="6">
        <v>42369</v>
      </c>
      <c r="E120" t="s">
        <v>286</v>
      </c>
      <c r="F120" t="s">
        <v>287</v>
      </c>
      <c r="G120" t="s">
        <v>288</v>
      </c>
      <c r="H120" t="s">
        <v>22</v>
      </c>
      <c r="I120" t="s">
        <v>23</v>
      </c>
      <c r="J120" t="s">
        <v>142</v>
      </c>
      <c r="K120">
        <v>4.0199999999999996</v>
      </c>
    </row>
    <row r="121" spans="1:11" x14ac:dyDescent="0.3">
      <c r="A121" t="s">
        <v>285</v>
      </c>
      <c r="B121">
        <f t="shared" si="1"/>
        <v>2016</v>
      </c>
      <c r="C121" s="6">
        <v>42381</v>
      </c>
      <c r="D121" s="6">
        <v>42389</v>
      </c>
      <c r="E121" t="s">
        <v>286</v>
      </c>
      <c r="F121" t="s">
        <v>287</v>
      </c>
      <c r="G121" t="s">
        <v>288</v>
      </c>
      <c r="H121" t="s">
        <v>22</v>
      </c>
      <c r="I121" t="s">
        <v>23</v>
      </c>
      <c r="J121" t="s">
        <v>38</v>
      </c>
      <c r="K121">
        <v>76.176000000000002</v>
      </c>
    </row>
    <row r="122" spans="1:11" x14ac:dyDescent="0.3">
      <c r="A122" t="s">
        <v>285</v>
      </c>
      <c r="B122">
        <f t="shared" si="1"/>
        <v>2016</v>
      </c>
      <c r="C122" s="6">
        <v>42385</v>
      </c>
      <c r="D122" s="6">
        <v>42389</v>
      </c>
      <c r="E122" t="s">
        <v>286</v>
      </c>
      <c r="F122" t="s">
        <v>287</v>
      </c>
      <c r="G122" t="s">
        <v>288</v>
      </c>
      <c r="H122" t="s">
        <v>22</v>
      </c>
      <c r="I122" t="s">
        <v>23</v>
      </c>
      <c r="J122" t="s">
        <v>289</v>
      </c>
      <c r="K122">
        <v>65.88</v>
      </c>
    </row>
    <row r="123" spans="1:11" x14ac:dyDescent="0.3">
      <c r="A123" t="s">
        <v>285</v>
      </c>
      <c r="B123">
        <f t="shared" si="1"/>
        <v>2016</v>
      </c>
      <c r="C123" s="6">
        <v>42385</v>
      </c>
      <c r="D123" s="6">
        <v>42442</v>
      </c>
      <c r="E123" t="s">
        <v>286</v>
      </c>
      <c r="F123" t="s">
        <v>287</v>
      </c>
      <c r="G123" t="s">
        <v>288</v>
      </c>
      <c r="H123" t="s">
        <v>22</v>
      </c>
      <c r="I123" t="s">
        <v>23</v>
      </c>
      <c r="J123" t="s">
        <v>35</v>
      </c>
      <c r="K123">
        <v>43.12</v>
      </c>
    </row>
    <row r="124" spans="1:11" x14ac:dyDescent="0.3">
      <c r="A124" t="s">
        <v>240</v>
      </c>
      <c r="B124">
        <f t="shared" si="1"/>
        <v>2016</v>
      </c>
      <c r="C124" s="6">
        <v>42440</v>
      </c>
      <c r="D124" s="6">
        <v>42442</v>
      </c>
      <c r="E124" t="s">
        <v>241</v>
      </c>
      <c r="F124" t="s">
        <v>242</v>
      </c>
      <c r="G124" t="s">
        <v>243</v>
      </c>
      <c r="H124" t="s">
        <v>109</v>
      </c>
      <c r="I124" t="s">
        <v>56</v>
      </c>
      <c r="J124" t="s">
        <v>89</v>
      </c>
      <c r="K124">
        <v>339.96</v>
      </c>
    </row>
    <row r="125" spans="1:11" x14ac:dyDescent="0.3">
      <c r="A125" t="s">
        <v>94</v>
      </c>
      <c r="B125">
        <f t="shared" si="1"/>
        <v>2016</v>
      </c>
      <c r="C125" s="6">
        <v>42440</v>
      </c>
      <c r="D125" s="6">
        <v>42445</v>
      </c>
      <c r="E125" t="s">
        <v>95</v>
      </c>
      <c r="F125" t="s">
        <v>96</v>
      </c>
      <c r="G125" t="s">
        <v>97</v>
      </c>
      <c r="H125" t="s">
        <v>55</v>
      </c>
      <c r="I125" t="s">
        <v>56</v>
      </c>
      <c r="J125" t="s">
        <v>45</v>
      </c>
      <c r="K125">
        <v>29.472000000000001</v>
      </c>
    </row>
    <row r="126" spans="1:11" x14ac:dyDescent="0.3">
      <c r="A126" t="s">
        <v>122</v>
      </c>
      <c r="B126">
        <f t="shared" si="1"/>
        <v>2016</v>
      </c>
      <c r="C126" s="6">
        <v>42442</v>
      </c>
      <c r="D126" s="6">
        <v>42445</v>
      </c>
      <c r="E126" t="s">
        <v>123</v>
      </c>
      <c r="F126" t="s">
        <v>124</v>
      </c>
      <c r="G126" t="s">
        <v>125</v>
      </c>
      <c r="H126" t="s">
        <v>126</v>
      </c>
      <c r="I126" t="s">
        <v>56</v>
      </c>
      <c r="J126" t="s">
        <v>31</v>
      </c>
      <c r="K126">
        <v>211.96</v>
      </c>
    </row>
    <row r="127" spans="1:11" x14ac:dyDescent="0.3">
      <c r="A127" t="s">
        <v>305</v>
      </c>
      <c r="B127">
        <f t="shared" si="1"/>
        <v>2016</v>
      </c>
      <c r="C127" s="6">
        <v>42442</v>
      </c>
      <c r="D127" s="6">
        <v>42470</v>
      </c>
      <c r="E127" t="s">
        <v>306</v>
      </c>
      <c r="F127" t="s">
        <v>307</v>
      </c>
      <c r="G127" t="s">
        <v>308</v>
      </c>
      <c r="H127" t="s">
        <v>256</v>
      </c>
      <c r="I127" t="s">
        <v>81</v>
      </c>
      <c r="J127" t="s">
        <v>35</v>
      </c>
      <c r="K127">
        <v>93.888000000000005</v>
      </c>
    </row>
    <row r="128" spans="1:11" x14ac:dyDescent="0.3">
      <c r="A128" t="s">
        <v>196</v>
      </c>
      <c r="B128">
        <f t="shared" si="1"/>
        <v>2016</v>
      </c>
      <c r="C128" s="6">
        <v>42466</v>
      </c>
      <c r="D128" s="6">
        <v>42502</v>
      </c>
      <c r="E128" t="s">
        <v>197</v>
      </c>
      <c r="F128" t="s">
        <v>198</v>
      </c>
      <c r="G128" t="s">
        <v>199</v>
      </c>
      <c r="H128" t="s">
        <v>121</v>
      </c>
      <c r="I128" t="s">
        <v>56</v>
      </c>
      <c r="J128" t="s">
        <v>89</v>
      </c>
      <c r="K128">
        <v>19.989999999999998</v>
      </c>
    </row>
    <row r="129" spans="1:11" x14ac:dyDescent="0.3">
      <c r="A129" t="s">
        <v>196</v>
      </c>
      <c r="B129">
        <f t="shared" si="1"/>
        <v>2016</v>
      </c>
      <c r="C129" s="6">
        <v>42466</v>
      </c>
      <c r="D129" s="6">
        <v>42527</v>
      </c>
      <c r="E129" t="s">
        <v>197</v>
      </c>
      <c r="F129" t="s">
        <v>198</v>
      </c>
      <c r="G129" t="s">
        <v>199</v>
      </c>
      <c r="H129" t="s">
        <v>121</v>
      </c>
      <c r="I129" t="s">
        <v>56</v>
      </c>
      <c r="J129" t="s">
        <v>24</v>
      </c>
      <c r="K129">
        <v>6.16</v>
      </c>
    </row>
    <row r="130" spans="1:11" x14ac:dyDescent="0.3">
      <c r="A130" t="s">
        <v>433</v>
      </c>
      <c r="B130">
        <f t="shared" si="1"/>
        <v>2016</v>
      </c>
      <c r="C130" s="6">
        <v>42466</v>
      </c>
      <c r="D130" s="6">
        <v>42530</v>
      </c>
      <c r="E130" t="s">
        <v>434</v>
      </c>
      <c r="F130" t="s">
        <v>435</v>
      </c>
      <c r="G130" t="s">
        <v>21</v>
      </c>
      <c r="H130" t="s">
        <v>22</v>
      </c>
      <c r="I130" t="s">
        <v>23</v>
      </c>
      <c r="J130" t="s">
        <v>31</v>
      </c>
      <c r="K130">
        <v>93.06</v>
      </c>
    </row>
    <row r="131" spans="1:11" x14ac:dyDescent="0.3">
      <c r="A131" t="s">
        <v>433</v>
      </c>
      <c r="B131">
        <f t="shared" ref="B131:B194" si="2">YEAR(C131)</f>
        <v>2016</v>
      </c>
      <c r="C131" s="6">
        <v>42494</v>
      </c>
      <c r="D131" s="6">
        <v>42530</v>
      </c>
      <c r="E131" t="s">
        <v>434</v>
      </c>
      <c r="F131" t="s">
        <v>435</v>
      </c>
      <c r="G131" t="s">
        <v>21</v>
      </c>
      <c r="H131" t="s">
        <v>22</v>
      </c>
      <c r="I131" t="s">
        <v>23</v>
      </c>
      <c r="J131" t="s">
        <v>37</v>
      </c>
      <c r="K131">
        <v>302.37599999999998</v>
      </c>
    </row>
    <row r="132" spans="1:11" x14ac:dyDescent="0.3">
      <c r="A132" t="s">
        <v>387</v>
      </c>
      <c r="B132">
        <f t="shared" si="2"/>
        <v>2016</v>
      </c>
      <c r="C132" s="6">
        <v>42499</v>
      </c>
      <c r="D132" s="6">
        <v>42536</v>
      </c>
      <c r="E132" t="s">
        <v>388</v>
      </c>
      <c r="F132" t="s">
        <v>389</v>
      </c>
      <c r="G132" t="s">
        <v>390</v>
      </c>
      <c r="H132" t="s">
        <v>22</v>
      </c>
      <c r="I132" t="s">
        <v>23</v>
      </c>
      <c r="J132" t="s">
        <v>93</v>
      </c>
      <c r="K132">
        <v>14.28</v>
      </c>
    </row>
    <row r="133" spans="1:11" x14ac:dyDescent="0.3">
      <c r="A133" t="s">
        <v>231</v>
      </c>
      <c r="B133">
        <f t="shared" si="2"/>
        <v>2016</v>
      </c>
      <c r="C133" s="6">
        <v>42502</v>
      </c>
      <c r="D133" s="6">
        <v>42536</v>
      </c>
      <c r="E133" t="s">
        <v>232</v>
      </c>
      <c r="F133" t="s">
        <v>233</v>
      </c>
      <c r="G133" t="s">
        <v>234</v>
      </c>
      <c r="H133" t="s">
        <v>235</v>
      </c>
      <c r="I133" t="s">
        <v>23</v>
      </c>
      <c r="J133" t="s">
        <v>89</v>
      </c>
      <c r="K133">
        <v>238.89599999999999</v>
      </c>
    </row>
    <row r="134" spans="1:11" x14ac:dyDescent="0.3">
      <c r="A134" t="s">
        <v>231</v>
      </c>
      <c r="B134">
        <f t="shared" si="2"/>
        <v>2016</v>
      </c>
      <c r="C134" s="6">
        <v>42502</v>
      </c>
      <c r="D134" s="6">
        <v>42536</v>
      </c>
      <c r="E134" t="s">
        <v>232</v>
      </c>
      <c r="F134" t="s">
        <v>233</v>
      </c>
      <c r="G134" t="s">
        <v>234</v>
      </c>
      <c r="H134" t="s">
        <v>235</v>
      </c>
      <c r="I134" t="s">
        <v>23</v>
      </c>
      <c r="J134" t="s">
        <v>35</v>
      </c>
      <c r="K134">
        <v>102.36</v>
      </c>
    </row>
    <row r="135" spans="1:11" x14ac:dyDescent="0.3">
      <c r="A135" t="s">
        <v>231</v>
      </c>
      <c r="B135">
        <f t="shared" si="2"/>
        <v>2016</v>
      </c>
      <c r="C135" s="6">
        <v>42502</v>
      </c>
      <c r="D135" s="6">
        <v>42536</v>
      </c>
      <c r="E135" t="s">
        <v>232</v>
      </c>
      <c r="F135" t="s">
        <v>233</v>
      </c>
      <c r="G135" t="s">
        <v>234</v>
      </c>
      <c r="H135" t="s">
        <v>235</v>
      </c>
      <c r="I135" t="s">
        <v>23</v>
      </c>
      <c r="J135" t="s">
        <v>38</v>
      </c>
      <c r="K135">
        <v>36.881999999999998</v>
      </c>
    </row>
    <row r="136" spans="1:11" x14ac:dyDescent="0.3">
      <c r="A136" t="s">
        <v>190</v>
      </c>
      <c r="B136">
        <f t="shared" si="2"/>
        <v>2016</v>
      </c>
      <c r="C136" s="6">
        <v>42502</v>
      </c>
      <c r="D136" s="6">
        <v>42536</v>
      </c>
      <c r="E136" t="s">
        <v>191</v>
      </c>
      <c r="F136" t="s">
        <v>192</v>
      </c>
      <c r="G136" t="s">
        <v>153</v>
      </c>
      <c r="H136" t="s">
        <v>109</v>
      </c>
      <c r="I136" t="s">
        <v>56</v>
      </c>
      <c r="J136" t="s">
        <v>31</v>
      </c>
      <c r="K136">
        <v>230.376</v>
      </c>
    </row>
    <row r="137" spans="1:11" x14ac:dyDescent="0.3">
      <c r="A137" t="s">
        <v>338</v>
      </c>
      <c r="B137">
        <f t="shared" si="2"/>
        <v>2016</v>
      </c>
      <c r="C137" s="6">
        <v>42502</v>
      </c>
      <c r="D137" s="6">
        <v>42536</v>
      </c>
      <c r="E137" t="s">
        <v>339</v>
      </c>
      <c r="F137" t="s">
        <v>340</v>
      </c>
      <c r="G137" t="s">
        <v>341</v>
      </c>
      <c r="H137" t="s">
        <v>342</v>
      </c>
      <c r="I137" t="s">
        <v>23</v>
      </c>
      <c r="J137" t="s">
        <v>93</v>
      </c>
      <c r="K137">
        <v>28.4</v>
      </c>
    </row>
    <row r="138" spans="1:11" x14ac:dyDescent="0.3">
      <c r="A138" t="s">
        <v>367</v>
      </c>
      <c r="B138">
        <f t="shared" si="2"/>
        <v>2016</v>
      </c>
      <c r="C138" s="6">
        <v>42530</v>
      </c>
      <c r="D138" s="6">
        <v>42536</v>
      </c>
      <c r="E138" t="s">
        <v>368</v>
      </c>
      <c r="F138" t="s">
        <v>369</v>
      </c>
      <c r="G138" t="s">
        <v>370</v>
      </c>
      <c r="H138" t="s">
        <v>371</v>
      </c>
      <c r="I138" t="s">
        <v>15</v>
      </c>
      <c r="J138" t="s">
        <v>37</v>
      </c>
      <c r="K138">
        <v>503.96</v>
      </c>
    </row>
    <row r="139" spans="1:11" x14ac:dyDescent="0.3">
      <c r="A139" t="s">
        <v>367</v>
      </c>
      <c r="B139">
        <f t="shared" si="2"/>
        <v>2016</v>
      </c>
      <c r="C139" s="6">
        <v>42532</v>
      </c>
      <c r="D139" s="6">
        <v>42537</v>
      </c>
      <c r="E139" t="s">
        <v>368</v>
      </c>
      <c r="F139" t="s">
        <v>369</v>
      </c>
      <c r="G139" t="s">
        <v>370</v>
      </c>
      <c r="H139" t="s">
        <v>371</v>
      </c>
      <c r="I139" t="s">
        <v>15</v>
      </c>
      <c r="J139" t="s">
        <v>37</v>
      </c>
      <c r="K139">
        <v>149.94999999999999</v>
      </c>
    </row>
    <row r="140" spans="1:11" x14ac:dyDescent="0.3">
      <c r="A140" t="s">
        <v>367</v>
      </c>
      <c r="B140">
        <f t="shared" si="2"/>
        <v>2016</v>
      </c>
      <c r="C140" s="6">
        <v>42532</v>
      </c>
      <c r="D140" s="6">
        <v>42539</v>
      </c>
      <c r="E140" t="s">
        <v>368</v>
      </c>
      <c r="F140" t="s">
        <v>369</v>
      </c>
      <c r="G140" t="s">
        <v>370</v>
      </c>
      <c r="H140" t="s">
        <v>371</v>
      </c>
      <c r="I140" t="s">
        <v>15</v>
      </c>
      <c r="J140" t="s">
        <v>89</v>
      </c>
      <c r="K140">
        <v>29</v>
      </c>
    </row>
    <row r="141" spans="1:11" x14ac:dyDescent="0.3">
      <c r="A141" t="s">
        <v>327</v>
      </c>
      <c r="B141">
        <f t="shared" si="2"/>
        <v>2016</v>
      </c>
      <c r="C141" s="6">
        <v>42538</v>
      </c>
      <c r="D141" s="6">
        <v>42539</v>
      </c>
      <c r="E141" t="s">
        <v>328</v>
      </c>
      <c r="F141" t="s">
        <v>329</v>
      </c>
      <c r="G141" t="s">
        <v>330</v>
      </c>
      <c r="H141" t="s">
        <v>331</v>
      </c>
      <c r="I141" t="s">
        <v>56</v>
      </c>
      <c r="J141" t="s">
        <v>24</v>
      </c>
      <c r="K141">
        <v>14.62</v>
      </c>
    </row>
    <row r="142" spans="1:11" x14ac:dyDescent="0.3">
      <c r="A142" t="s">
        <v>327</v>
      </c>
      <c r="B142">
        <f t="shared" si="2"/>
        <v>2016</v>
      </c>
      <c r="C142" s="6">
        <v>42538</v>
      </c>
      <c r="D142" s="6">
        <v>42539</v>
      </c>
      <c r="E142" t="s">
        <v>328</v>
      </c>
      <c r="F142" t="s">
        <v>329</v>
      </c>
      <c r="G142" t="s">
        <v>330</v>
      </c>
      <c r="H142" t="s">
        <v>331</v>
      </c>
      <c r="I142" t="s">
        <v>56</v>
      </c>
      <c r="J142" t="s">
        <v>37</v>
      </c>
      <c r="K142">
        <v>944.93</v>
      </c>
    </row>
    <row r="143" spans="1:11" x14ac:dyDescent="0.3">
      <c r="A143" t="s">
        <v>360</v>
      </c>
      <c r="B143">
        <f t="shared" si="2"/>
        <v>2016</v>
      </c>
      <c r="C143" s="6">
        <v>42538</v>
      </c>
      <c r="D143" s="6">
        <v>42539</v>
      </c>
      <c r="E143" t="s">
        <v>170</v>
      </c>
      <c r="F143" t="s">
        <v>171</v>
      </c>
      <c r="G143" t="s">
        <v>308</v>
      </c>
      <c r="H143" t="s">
        <v>256</v>
      </c>
      <c r="I143" t="s">
        <v>81</v>
      </c>
      <c r="J143" t="s">
        <v>17</v>
      </c>
      <c r="K143">
        <v>396.80200000000002</v>
      </c>
    </row>
    <row r="144" spans="1:11" x14ac:dyDescent="0.3">
      <c r="A144" t="s">
        <v>360</v>
      </c>
      <c r="B144">
        <f t="shared" si="2"/>
        <v>2016</v>
      </c>
      <c r="C144" s="6">
        <v>42538</v>
      </c>
      <c r="D144" s="6">
        <v>42539</v>
      </c>
      <c r="E144" t="s">
        <v>170</v>
      </c>
      <c r="F144" t="s">
        <v>171</v>
      </c>
      <c r="G144" t="s">
        <v>308</v>
      </c>
      <c r="H144" t="s">
        <v>256</v>
      </c>
      <c r="I144" t="s">
        <v>81</v>
      </c>
      <c r="J144" t="s">
        <v>289</v>
      </c>
      <c r="K144">
        <v>15.88</v>
      </c>
    </row>
    <row r="145" spans="1:11" x14ac:dyDescent="0.3">
      <c r="A145" t="s">
        <v>51</v>
      </c>
      <c r="B145">
        <f t="shared" si="2"/>
        <v>2016</v>
      </c>
      <c r="C145" s="6">
        <v>42538</v>
      </c>
      <c r="D145" s="6">
        <v>42539</v>
      </c>
      <c r="E145" t="s">
        <v>52</v>
      </c>
      <c r="F145" t="s">
        <v>53</v>
      </c>
      <c r="G145" t="s">
        <v>54</v>
      </c>
      <c r="H145" t="s">
        <v>55</v>
      </c>
      <c r="I145" t="s">
        <v>56</v>
      </c>
      <c r="J145" t="s">
        <v>39</v>
      </c>
      <c r="K145">
        <v>68.81</v>
      </c>
    </row>
    <row r="146" spans="1:11" x14ac:dyDescent="0.3">
      <c r="A146" t="s">
        <v>51</v>
      </c>
      <c r="B146">
        <f t="shared" si="2"/>
        <v>2016</v>
      </c>
      <c r="C146" s="6">
        <v>42538</v>
      </c>
      <c r="D146" s="6">
        <v>42539</v>
      </c>
      <c r="E146" t="s">
        <v>52</v>
      </c>
      <c r="F146" t="s">
        <v>53</v>
      </c>
      <c r="G146" t="s">
        <v>54</v>
      </c>
      <c r="H146" t="s">
        <v>55</v>
      </c>
      <c r="I146" t="s">
        <v>56</v>
      </c>
      <c r="J146" t="s">
        <v>38</v>
      </c>
      <c r="K146">
        <v>2.544</v>
      </c>
    </row>
    <row r="147" spans="1:11" x14ac:dyDescent="0.3">
      <c r="A147" t="s">
        <v>236</v>
      </c>
      <c r="B147">
        <f t="shared" si="2"/>
        <v>2016</v>
      </c>
      <c r="C147" s="6">
        <v>42538</v>
      </c>
      <c r="D147" s="6">
        <v>42546</v>
      </c>
      <c r="E147" t="s">
        <v>237</v>
      </c>
      <c r="F147" t="s">
        <v>238</v>
      </c>
      <c r="G147" t="s">
        <v>239</v>
      </c>
      <c r="H147" t="s">
        <v>44</v>
      </c>
      <c r="I147" t="s">
        <v>15</v>
      </c>
      <c r="J147" t="s">
        <v>89</v>
      </c>
      <c r="K147">
        <v>74.111999999999995</v>
      </c>
    </row>
    <row r="148" spans="1:11" x14ac:dyDescent="0.3">
      <c r="A148" t="s">
        <v>236</v>
      </c>
      <c r="B148">
        <f t="shared" si="2"/>
        <v>2016</v>
      </c>
      <c r="C148" s="6">
        <v>42541</v>
      </c>
      <c r="D148" s="6">
        <v>42546</v>
      </c>
      <c r="E148" t="s">
        <v>237</v>
      </c>
      <c r="F148" t="s">
        <v>238</v>
      </c>
      <c r="G148" t="s">
        <v>239</v>
      </c>
      <c r="H148" t="s">
        <v>44</v>
      </c>
      <c r="I148" t="s">
        <v>15</v>
      </c>
      <c r="J148" t="s">
        <v>37</v>
      </c>
      <c r="K148">
        <v>27.992000000000001</v>
      </c>
    </row>
    <row r="149" spans="1:11" x14ac:dyDescent="0.3">
      <c r="A149" t="s">
        <v>236</v>
      </c>
      <c r="B149">
        <f t="shared" si="2"/>
        <v>2016</v>
      </c>
      <c r="C149" s="6">
        <v>42541</v>
      </c>
      <c r="D149" s="6">
        <v>42573</v>
      </c>
      <c r="E149" t="s">
        <v>237</v>
      </c>
      <c r="F149" t="s">
        <v>238</v>
      </c>
      <c r="G149" t="s">
        <v>239</v>
      </c>
      <c r="H149" t="s">
        <v>44</v>
      </c>
      <c r="I149" t="s">
        <v>15</v>
      </c>
      <c r="J149" t="s">
        <v>36</v>
      </c>
      <c r="K149">
        <v>3.3039999999999998</v>
      </c>
    </row>
    <row r="150" spans="1:11" x14ac:dyDescent="0.3">
      <c r="A150" t="s">
        <v>147</v>
      </c>
      <c r="B150">
        <f t="shared" si="2"/>
        <v>2016</v>
      </c>
      <c r="C150" s="6">
        <v>42562</v>
      </c>
      <c r="D150" s="6">
        <v>42573</v>
      </c>
      <c r="E150" t="s">
        <v>148</v>
      </c>
      <c r="F150" t="s">
        <v>149</v>
      </c>
      <c r="G150" t="s">
        <v>21</v>
      </c>
      <c r="H150" t="s">
        <v>22</v>
      </c>
      <c r="I150" t="s">
        <v>23</v>
      </c>
      <c r="J150" t="s">
        <v>89</v>
      </c>
      <c r="K150">
        <v>13.98</v>
      </c>
    </row>
    <row r="151" spans="1:11" x14ac:dyDescent="0.3">
      <c r="A151" t="s">
        <v>147</v>
      </c>
      <c r="B151">
        <f t="shared" si="2"/>
        <v>2016</v>
      </c>
      <c r="C151" s="6">
        <v>42567</v>
      </c>
      <c r="D151" s="6">
        <v>42573</v>
      </c>
      <c r="E151" t="s">
        <v>148</v>
      </c>
      <c r="F151" t="s">
        <v>149</v>
      </c>
      <c r="G151" t="s">
        <v>21</v>
      </c>
      <c r="H151" t="s">
        <v>22</v>
      </c>
      <c r="I151" t="s">
        <v>23</v>
      </c>
      <c r="J151" t="s">
        <v>38</v>
      </c>
      <c r="K151">
        <v>25.824000000000002</v>
      </c>
    </row>
    <row r="152" spans="1:11" x14ac:dyDescent="0.3">
      <c r="A152" t="s">
        <v>147</v>
      </c>
      <c r="B152">
        <f t="shared" si="2"/>
        <v>2016</v>
      </c>
      <c r="C152" s="6">
        <v>42567</v>
      </c>
      <c r="D152" s="6">
        <v>42615</v>
      </c>
      <c r="E152" t="s">
        <v>148</v>
      </c>
      <c r="F152" t="s">
        <v>149</v>
      </c>
      <c r="G152" t="s">
        <v>21</v>
      </c>
      <c r="H152" t="s">
        <v>22</v>
      </c>
      <c r="I152" t="s">
        <v>23</v>
      </c>
      <c r="J152" t="s">
        <v>45</v>
      </c>
      <c r="K152">
        <v>146.72999999999999</v>
      </c>
    </row>
    <row r="153" spans="1:11" x14ac:dyDescent="0.3">
      <c r="A153" t="s">
        <v>147</v>
      </c>
      <c r="B153">
        <f t="shared" si="2"/>
        <v>2016</v>
      </c>
      <c r="C153" s="6">
        <v>42568</v>
      </c>
      <c r="D153" s="6">
        <v>42615</v>
      </c>
      <c r="E153" t="s">
        <v>148</v>
      </c>
      <c r="F153" t="s">
        <v>149</v>
      </c>
      <c r="G153" t="s">
        <v>21</v>
      </c>
      <c r="H153" t="s">
        <v>22</v>
      </c>
      <c r="I153" t="s">
        <v>23</v>
      </c>
      <c r="J153" t="s">
        <v>35</v>
      </c>
      <c r="K153">
        <v>79.760000000000005</v>
      </c>
    </row>
    <row r="154" spans="1:11" x14ac:dyDescent="0.3">
      <c r="A154" t="s">
        <v>177</v>
      </c>
      <c r="B154">
        <f t="shared" si="2"/>
        <v>2016</v>
      </c>
      <c r="C154" s="6">
        <v>42593</v>
      </c>
      <c r="D154" s="6">
        <v>42615</v>
      </c>
      <c r="E154" t="s">
        <v>170</v>
      </c>
      <c r="F154" t="s">
        <v>171</v>
      </c>
      <c r="G154" t="s">
        <v>97</v>
      </c>
      <c r="H154" t="s">
        <v>55</v>
      </c>
      <c r="I154" t="s">
        <v>56</v>
      </c>
      <c r="J154" t="s">
        <v>35</v>
      </c>
      <c r="K154">
        <v>19.3</v>
      </c>
    </row>
    <row r="155" spans="1:11" x14ac:dyDescent="0.3">
      <c r="A155" t="s">
        <v>372</v>
      </c>
      <c r="B155">
        <f t="shared" si="2"/>
        <v>2016</v>
      </c>
      <c r="C155" s="6">
        <v>42593</v>
      </c>
      <c r="D155" s="6">
        <v>42620</v>
      </c>
      <c r="E155" t="s">
        <v>373</v>
      </c>
      <c r="F155" t="s">
        <v>374</v>
      </c>
      <c r="G155" t="s">
        <v>375</v>
      </c>
      <c r="H155" t="s">
        <v>376</v>
      </c>
      <c r="I155" t="s">
        <v>81</v>
      </c>
      <c r="J155" t="s">
        <v>38</v>
      </c>
      <c r="K155">
        <v>7.16</v>
      </c>
    </row>
    <row r="156" spans="1:11" x14ac:dyDescent="0.3">
      <c r="A156" t="s">
        <v>361</v>
      </c>
      <c r="B156">
        <f t="shared" si="2"/>
        <v>2016</v>
      </c>
      <c r="C156" s="6">
        <v>42594</v>
      </c>
      <c r="D156" s="6">
        <v>42624</v>
      </c>
      <c r="E156" t="s">
        <v>362</v>
      </c>
      <c r="F156" t="s">
        <v>363</v>
      </c>
      <c r="G156" t="s">
        <v>140</v>
      </c>
      <c r="H156" t="s">
        <v>141</v>
      </c>
      <c r="I156" t="s">
        <v>81</v>
      </c>
      <c r="J156" t="s">
        <v>36</v>
      </c>
      <c r="K156">
        <v>3.28</v>
      </c>
    </row>
    <row r="157" spans="1:11" x14ac:dyDescent="0.3">
      <c r="A157" t="s">
        <v>411</v>
      </c>
      <c r="B157">
        <f t="shared" si="2"/>
        <v>2016</v>
      </c>
      <c r="C157" s="6">
        <v>42594</v>
      </c>
      <c r="D157" s="6">
        <v>42635</v>
      </c>
      <c r="E157" t="s">
        <v>412</v>
      </c>
      <c r="F157" t="s">
        <v>413</v>
      </c>
      <c r="G157" t="s">
        <v>414</v>
      </c>
      <c r="H157" t="s">
        <v>55</v>
      </c>
      <c r="I157" t="s">
        <v>56</v>
      </c>
      <c r="J157" t="s">
        <v>39</v>
      </c>
      <c r="K157">
        <v>66.284000000000006</v>
      </c>
    </row>
    <row r="158" spans="1:11" x14ac:dyDescent="0.3">
      <c r="A158" t="s">
        <v>296</v>
      </c>
      <c r="B158">
        <f t="shared" si="2"/>
        <v>2016</v>
      </c>
      <c r="C158" s="6">
        <v>42611</v>
      </c>
      <c r="D158" s="6">
        <v>42635</v>
      </c>
      <c r="E158" t="s">
        <v>297</v>
      </c>
      <c r="F158" t="s">
        <v>298</v>
      </c>
      <c r="G158" t="s">
        <v>299</v>
      </c>
      <c r="H158" t="s">
        <v>300</v>
      </c>
      <c r="I158" t="s">
        <v>56</v>
      </c>
      <c r="J158" t="s">
        <v>39</v>
      </c>
      <c r="K158">
        <v>839.43</v>
      </c>
    </row>
    <row r="159" spans="1:11" x14ac:dyDescent="0.3">
      <c r="A159" t="s">
        <v>436</v>
      </c>
      <c r="B159">
        <f t="shared" si="2"/>
        <v>2016</v>
      </c>
      <c r="C159" s="6">
        <v>42611</v>
      </c>
      <c r="D159" s="6">
        <v>42635</v>
      </c>
      <c r="E159" t="s">
        <v>437</v>
      </c>
      <c r="F159" t="s">
        <v>438</v>
      </c>
      <c r="G159" t="s">
        <v>439</v>
      </c>
      <c r="H159" t="s">
        <v>256</v>
      </c>
      <c r="I159" t="s">
        <v>81</v>
      </c>
      <c r="J159" t="s">
        <v>142</v>
      </c>
      <c r="K159">
        <v>5.5839999999999996</v>
      </c>
    </row>
    <row r="160" spans="1:11" x14ac:dyDescent="0.3">
      <c r="A160" t="s">
        <v>436</v>
      </c>
      <c r="B160">
        <f t="shared" si="2"/>
        <v>2016</v>
      </c>
      <c r="C160" s="6">
        <v>42611</v>
      </c>
      <c r="D160" s="6">
        <v>42636</v>
      </c>
      <c r="E160" t="s">
        <v>437</v>
      </c>
      <c r="F160" t="s">
        <v>438</v>
      </c>
      <c r="G160" t="s">
        <v>439</v>
      </c>
      <c r="H160" t="s">
        <v>256</v>
      </c>
      <c r="I160" t="s">
        <v>81</v>
      </c>
      <c r="J160" t="s">
        <v>45</v>
      </c>
      <c r="K160">
        <v>22.704000000000001</v>
      </c>
    </row>
    <row r="161" spans="1:11" x14ac:dyDescent="0.3">
      <c r="A161" t="s">
        <v>436</v>
      </c>
      <c r="B161">
        <f t="shared" si="2"/>
        <v>2016</v>
      </c>
      <c r="C161" s="6">
        <v>42625</v>
      </c>
      <c r="D161" s="6">
        <v>42662</v>
      </c>
      <c r="E161" t="s">
        <v>437</v>
      </c>
      <c r="F161" t="s">
        <v>438</v>
      </c>
      <c r="G161" t="s">
        <v>439</v>
      </c>
      <c r="H161" t="s">
        <v>256</v>
      </c>
      <c r="I161" t="s">
        <v>81</v>
      </c>
      <c r="J161" t="s">
        <v>38</v>
      </c>
      <c r="K161">
        <v>19.776</v>
      </c>
    </row>
    <row r="162" spans="1:11" x14ac:dyDescent="0.3">
      <c r="A162" t="s">
        <v>436</v>
      </c>
      <c r="B162">
        <f t="shared" si="2"/>
        <v>2016</v>
      </c>
      <c r="C162" s="6">
        <v>42625</v>
      </c>
      <c r="D162" s="6">
        <v>42662</v>
      </c>
      <c r="E162" t="s">
        <v>437</v>
      </c>
      <c r="F162" t="s">
        <v>438</v>
      </c>
      <c r="G162" t="s">
        <v>439</v>
      </c>
      <c r="H162" t="s">
        <v>256</v>
      </c>
      <c r="I162" t="s">
        <v>81</v>
      </c>
      <c r="J162" t="s">
        <v>35</v>
      </c>
      <c r="K162">
        <v>72.703999999999994</v>
      </c>
    </row>
    <row r="163" spans="1:11" x14ac:dyDescent="0.3">
      <c r="A163" t="s">
        <v>436</v>
      </c>
      <c r="B163">
        <f t="shared" si="2"/>
        <v>2016</v>
      </c>
      <c r="C163" s="6">
        <v>42630</v>
      </c>
      <c r="D163" s="6">
        <v>42662</v>
      </c>
      <c r="E163" t="s">
        <v>437</v>
      </c>
      <c r="F163" t="s">
        <v>438</v>
      </c>
      <c r="G163" t="s">
        <v>439</v>
      </c>
      <c r="H163" t="s">
        <v>256</v>
      </c>
      <c r="I163" t="s">
        <v>81</v>
      </c>
      <c r="J163" t="s">
        <v>350</v>
      </c>
      <c r="K163">
        <v>479.988</v>
      </c>
    </row>
    <row r="164" spans="1:11" x14ac:dyDescent="0.3">
      <c r="A164" t="s">
        <v>436</v>
      </c>
      <c r="B164">
        <f t="shared" si="2"/>
        <v>2016</v>
      </c>
      <c r="C164" s="6">
        <v>42630</v>
      </c>
      <c r="D164" s="6">
        <v>42662</v>
      </c>
      <c r="E164" t="s">
        <v>437</v>
      </c>
      <c r="F164" t="s">
        <v>438</v>
      </c>
      <c r="G164" t="s">
        <v>439</v>
      </c>
      <c r="H164" t="s">
        <v>256</v>
      </c>
      <c r="I164" t="s">
        <v>81</v>
      </c>
      <c r="J164" t="s">
        <v>36</v>
      </c>
      <c r="K164">
        <v>27.167999999999999</v>
      </c>
    </row>
    <row r="165" spans="1:11" x14ac:dyDescent="0.3">
      <c r="A165" t="s">
        <v>244</v>
      </c>
      <c r="B165">
        <f t="shared" si="2"/>
        <v>2016</v>
      </c>
      <c r="C165" s="6">
        <v>42630</v>
      </c>
      <c r="D165" s="6">
        <v>42662</v>
      </c>
      <c r="E165" t="s">
        <v>245</v>
      </c>
      <c r="F165" t="s">
        <v>246</v>
      </c>
      <c r="G165" t="s">
        <v>140</v>
      </c>
      <c r="H165" t="s">
        <v>141</v>
      </c>
      <c r="I165" t="s">
        <v>81</v>
      </c>
      <c r="J165" t="s">
        <v>35</v>
      </c>
      <c r="K165">
        <v>41.96</v>
      </c>
    </row>
    <row r="166" spans="1:11" x14ac:dyDescent="0.3">
      <c r="A166" t="s">
        <v>268</v>
      </c>
      <c r="B166">
        <f t="shared" si="2"/>
        <v>2016</v>
      </c>
      <c r="C166" s="6">
        <v>42631</v>
      </c>
      <c r="D166" s="6">
        <v>42662</v>
      </c>
      <c r="E166" t="s">
        <v>269</v>
      </c>
      <c r="F166" t="s">
        <v>270</v>
      </c>
      <c r="G166" t="s">
        <v>97</v>
      </c>
      <c r="H166" t="s">
        <v>55</v>
      </c>
      <c r="I166" t="s">
        <v>56</v>
      </c>
      <c r="J166" t="s">
        <v>17</v>
      </c>
      <c r="K166">
        <v>600.55799999999999</v>
      </c>
    </row>
    <row r="167" spans="1:11" x14ac:dyDescent="0.3">
      <c r="A167" t="s">
        <v>102</v>
      </c>
      <c r="B167">
        <f t="shared" si="2"/>
        <v>2016</v>
      </c>
      <c r="C167" s="6">
        <v>42656</v>
      </c>
      <c r="D167" s="6">
        <v>42662</v>
      </c>
      <c r="E167" t="s">
        <v>103</v>
      </c>
      <c r="F167" t="s">
        <v>104</v>
      </c>
      <c r="G167" t="s">
        <v>97</v>
      </c>
      <c r="H167" t="s">
        <v>55</v>
      </c>
      <c r="I167" t="s">
        <v>56</v>
      </c>
      <c r="J167" t="s">
        <v>93</v>
      </c>
      <c r="K167">
        <v>113.328</v>
      </c>
    </row>
    <row r="168" spans="1:11" x14ac:dyDescent="0.3">
      <c r="A168" t="s">
        <v>102</v>
      </c>
      <c r="B168">
        <f t="shared" si="2"/>
        <v>2016</v>
      </c>
      <c r="C168" s="6">
        <v>42656</v>
      </c>
      <c r="D168" s="6">
        <v>42675</v>
      </c>
      <c r="E168" t="s">
        <v>103</v>
      </c>
      <c r="F168" t="s">
        <v>104</v>
      </c>
      <c r="G168" t="s">
        <v>97</v>
      </c>
      <c r="H168" t="s">
        <v>55</v>
      </c>
      <c r="I168" t="s">
        <v>56</v>
      </c>
      <c r="J168" t="s">
        <v>16</v>
      </c>
      <c r="K168">
        <v>532.39919999999995</v>
      </c>
    </row>
    <row r="169" spans="1:11" x14ac:dyDescent="0.3">
      <c r="A169" t="s">
        <v>102</v>
      </c>
      <c r="B169">
        <f t="shared" si="2"/>
        <v>2016</v>
      </c>
      <c r="C169" s="6">
        <v>42656</v>
      </c>
      <c r="D169" s="6">
        <v>42675</v>
      </c>
      <c r="E169" t="s">
        <v>103</v>
      </c>
      <c r="F169" t="s">
        <v>104</v>
      </c>
      <c r="G169" t="s">
        <v>97</v>
      </c>
      <c r="H169" t="s">
        <v>55</v>
      </c>
      <c r="I169" t="s">
        <v>56</v>
      </c>
      <c r="J169" t="s">
        <v>17</v>
      </c>
      <c r="K169">
        <v>212.05799999999999</v>
      </c>
    </row>
    <row r="170" spans="1:11" x14ac:dyDescent="0.3">
      <c r="A170" t="s">
        <v>102</v>
      </c>
      <c r="B170">
        <f t="shared" si="2"/>
        <v>2016</v>
      </c>
      <c r="C170" s="6">
        <v>42656</v>
      </c>
      <c r="D170" s="6">
        <v>42684</v>
      </c>
      <c r="E170" t="s">
        <v>103</v>
      </c>
      <c r="F170" t="s">
        <v>104</v>
      </c>
      <c r="G170" t="s">
        <v>97</v>
      </c>
      <c r="H170" t="s">
        <v>55</v>
      </c>
      <c r="I170" t="s">
        <v>56</v>
      </c>
      <c r="J170" t="s">
        <v>37</v>
      </c>
      <c r="K170">
        <v>371.16800000000001</v>
      </c>
    </row>
    <row r="171" spans="1:11" x14ac:dyDescent="0.3">
      <c r="A171" t="s">
        <v>335</v>
      </c>
      <c r="B171">
        <f t="shared" si="2"/>
        <v>2016</v>
      </c>
      <c r="C171" s="6">
        <v>42656</v>
      </c>
      <c r="D171" s="6">
        <v>42684</v>
      </c>
      <c r="E171" t="s">
        <v>336</v>
      </c>
      <c r="F171" t="s">
        <v>337</v>
      </c>
      <c r="G171" t="s">
        <v>79</v>
      </c>
      <c r="H171" t="s">
        <v>80</v>
      </c>
      <c r="I171" t="s">
        <v>81</v>
      </c>
      <c r="J171" t="s">
        <v>89</v>
      </c>
      <c r="K171">
        <v>54.384</v>
      </c>
    </row>
    <row r="172" spans="1:11" x14ac:dyDescent="0.3">
      <c r="A172" t="s">
        <v>444</v>
      </c>
      <c r="B172">
        <f t="shared" si="2"/>
        <v>2016</v>
      </c>
      <c r="C172" s="6">
        <v>42656</v>
      </c>
      <c r="D172" s="6">
        <v>42684</v>
      </c>
      <c r="E172" t="s">
        <v>445</v>
      </c>
      <c r="F172" t="s">
        <v>446</v>
      </c>
      <c r="G172" t="s">
        <v>194</v>
      </c>
      <c r="H172" t="s">
        <v>173</v>
      </c>
      <c r="I172" t="s">
        <v>15</v>
      </c>
      <c r="J172" t="s">
        <v>17</v>
      </c>
      <c r="K172">
        <v>161.56800000000001</v>
      </c>
    </row>
    <row r="173" spans="1:11" x14ac:dyDescent="0.3">
      <c r="A173" t="s">
        <v>444</v>
      </c>
      <c r="B173">
        <f t="shared" si="2"/>
        <v>2016</v>
      </c>
      <c r="C173" s="6">
        <v>42656</v>
      </c>
      <c r="D173" s="6">
        <v>42684</v>
      </c>
      <c r="E173" t="s">
        <v>445</v>
      </c>
      <c r="F173" t="s">
        <v>446</v>
      </c>
      <c r="G173" t="s">
        <v>194</v>
      </c>
      <c r="H173" t="s">
        <v>173</v>
      </c>
      <c r="I173" t="s">
        <v>15</v>
      </c>
      <c r="J173" t="s">
        <v>17</v>
      </c>
      <c r="K173">
        <v>389.69600000000003</v>
      </c>
    </row>
    <row r="174" spans="1:11" x14ac:dyDescent="0.3">
      <c r="A174" t="s">
        <v>313</v>
      </c>
      <c r="B174">
        <f t="shared" si="2"/>
        <v>2016</v>
      </c>
      <c r="C174" s="6">
        <v>42671</v>
      </c>
      <c r="D174" s="6">
        <v>42685</v>
      </c>
      <c r="E174" t="s">
        <v>314</v>
      </c>
      <c r="F174" t="s">
        <v>315</v>
      </c>
      <c r="G174" t="s">
        <v>316</v>
      </c>
      <c r="H174" t="s">
        <v>158</v>
      </c>
      <c r="I174" t="s">
        <v>23</v>
      </c>
      <c r="J174" t="s">
        <v>39</v>
      </c>
      <c r="K174">
        <v>157.91999999999999</v>
      </c>
    </row>
    <row r="175" spans="1:11" x14ac:dyDescent="0.3">
      <c r="A175" t="s">
        <v>313</v>
      </c>
      <c r="B175">
        <f t="shared" si="2"/>
        <v>2016</v>
      </c>
      <c r="C175" s="6">
        <v>42671</v>
      </c>
      <c r="D175" s="6">
        <v>42685</v>
      </c>
      <c r="E175" t="s">
        <v>314</v>
      </c>
      <c r="F175" t="s">
        <v>315</v>
      </c>
      <c r="G175" t="s">
        <v>316</v>
      </c>
      <c r="H175" t="s">
        <v>158</v>
      </c>
      <c r="I175" t="s">
        <v>23</v>
      </c>
      <c r="J175" t="s">
        <v>37</v>
      </c>
      <c r="K175">
        <v>203.184</v>
      </c>
    </row>
    <row r="176" spans="1:11" x14ac:dyDescent="0.3">
      <c r="A176" t="s">
        <v>391</v>
      </c>
      <c r="B176">
        <f t="shared" si="2"/>
        <v>2016</v>
      </c>
      <c r="C176" s="6">
        <v>42677</v>
      </c>
      <c r="D176" s="6">
        <v>42685</v>
      </c>
      <c r="E176" t="s">
        <v>392</v>
      </c>
      <c r="F176" t="s">
        <v>393</v>
      </c>
      <c r="G176" t="s">
        <v>394</v>
      </c>
      <c r="H176" t="s">
        <v>256</v>
      </c>
      <c r="I176" t="s">
        <v>81</v>
      </c>
      <c r="J176" t="s">
        <v>36</v>
      </c>
      <c r="K176">
        <v>7.4080000000000004</v>
      </c>
    </row>
    <row r="177" spans="1:11" x14ac:dyDescent="0.3">
      <c r="A177" t="s">
        <v>391</v>
      </c>
      <c r="B177">
        <f t="shared" si="2"/>
        <v>2016</v>
      </c>
      <c r="C177" s="6">
        <v>42677</v>
      </c>
      <c r="D177" s="6">
        <v>42694</v>
      </c>
      <c r="E177" t="s">
        <v>392</v>
      </c>
      <c r="F177" t="s">
        <v>393</v>
      </c>
      <c r="G177" t="s">
        <v>394</v>
      </c>
      <c r="H177" t="s">
        <v>256</v>
      </c>
      <c r="I177" t="s">
        <v>81</v>
      </c>
      <c r="J177" t="s">
        <v>36</v>
      </c>
      <c r="K177">
        <v>6.048</v>
      </c>
    </row>
    <row r="178" spans="1:11" x14ac:dyDescent="0.3">
      <c r="A178" t="s">
        <v>40</v>
      </c>
      <c r="B178">
        <f t="shared" si="2"/>
        <v>2016</v>
      </c>
      <c r="C178" s="6">
        <v>42679</v>
      </c>
      <c r="D178" s="6">
        <v>42698</v>
      </c>
      <c r="E178" t="s">
        <v>41</v>
      </c>
      <c r="F178" t="s">
        <v>42</v>
      </c>
      <c r="G178" t="s">
        <v>43</v>
      </c>
      <c r="H178" t="s">
        <v>44</v>
      </c>
      <c r="I178" t="s">
        <v>15</v>
      </c>
      <c r="J178" t="s">
        <v>45</v>
      </c>
      <c r="K178">
        <v>15.552</v>
      </c>
    </row>
    <row r="179" spans="1:11" x14ac:dyDescent="0.3">
      <c r="A179" t="s">
        <v>132</v>
      </c>
      <c r="B179">
        <f t="shared" si="2"/>
        <v>2016</v>
      </c>
      <c r="C179" s="6">
        <v>42686</v>
      </c>
      <c r="D179" s="6">
        <v>42698</v>
      </c>
      <c r="E179" t="s">
        <v>133</v>
      </c>
      <c r="F179" t="s">
        <v>134</v>
      </c>
      <c r="G179" t="s">
        <v>135</v>
      </c>
      <c r="H179" t="s">
        <v>136</v>
      </c>
      <c r="I179" t="s">
        <v>56</v>
      </c>
      <c r="J179" t="s">
        <v>38</v>
      </c>
      <c r="K179">
        <v>38.22</v>
      </c>
    </row>
    <row r="180" spans="1:11" x14ac:dyDescent="0.3">
      <c r="A180" t="s">
        <v>132</v>
      </c>
      <c r="B180">
        <f t="shared" si="2"/>
        <v>2016</v>
      </c>
      <c r="C180" s="6">
        <v>42686</v>
      </c>
      <c r="D180" s="6">
        <v>42706</v>
      </c>
      <c r="E180" t="s">
        <v>133</v>
      </c>
      <c r="F180" t="s">
        <v>134</v>
      </c>
      <c r="G180" t="s">
        <v>135</v>
      </c>
      <c r="H180" t="s">
        <v>136</v>
      </c>
      <c r="I180" t="s">
        <v>56</v>
      </c>
      <c r="J180" t="s">
        <v>24</v>
      </c>
      <c r="K180">
        <v>75.180000000000007</v>
      </c>
    </row>
    <row r="181" spans="1:11" x14ac:dyDescent="0.3">
      <c r="A181" t="s">
        <v>132</v>
      </c>
      <c r="B181">
        <f t="shared" si="2"/>
        <v>2016</v>
      </c>
      <c r="C181" s="6">
        <v>42690</v>
      </c>
      <c r="D181" s="6">
        <v>42708</v>
      </c>
      <c r="E181" t="s">
        <v>133</v>
      </c>
      <c r="F181" t="s">
        <v>134</v>
      </c>
      <c r="G181" t="s">
        <v>135</v>
      </c>
      <c r="H181" t="s">
        <v>136</v>
      </c>
      <c r="I181" t="s">
        <v>56</v>
      </c>
      <c r="J181" t="s">
        <v>35</v>
      </c>
      <c r="K181">
        <v>6.16</v>
      </c>
    </row>
    <row r="182" spans="1:11" x14ac:dyDescent="0.3">
      <c r="A182" t="s">
        <v>132</v>
      </c>
      <c r="B182">
        <f t="shared" si="2"/>
        <v>2016</v>
      </c>
      <c r="C182" s="6">
        <v>42694</v>
      </c>
      <c r="D182" s="6">
        <v>42713</v>
      </c>
      <c r="E182" t="s">
        <v>133</v>
      </c>
      <c r="F182" t="s">
        <v>134</v>
      </c>
      <c r="G182" t="s">
        <v>135</v>
      </c>
      <c r="H182" t="s">
        <v>136</v>
      </c>
      <c r="I182" t="s">
        <v>56</v>
      </c>
      <c r="J182" t="s">
        <v>17</v>
      </c>
      <c r="K182">
        <v>89.99</v>
      </c>
    </row>
    <row r="183" spans="1:11" x14ac:dyDescent="0.3">
      <c r="A183" t="s">
        <v>357</v>
      </c>
      <c r="B183">
        <f t="shared" si="2"/>
        <v>2016</v>
      </c>
      <c r="C183" s="6">
        <v>42694</v>
      </c>
      <c r="D183" s="6">
        <v>42713</v>
      </c>
      <c r="E183" t="s">
        <v>358</v>
      </c>
      <c r="F183" t="s">
        <v>359</v>
      </c>
      <c r="G183" t="s">
        <v>97</v>
      </c>
      <c r="H183" t="s">
        <v>55</v>
      </c>
      <c r="I183" t="s">
        <v>56</v>
      </c>
      <c r="J183" t="s">
        <v>39</v>
      </c>
      <c r="K183">
        <v>97.263999999999996</v>
      </c>
    </row>
    <row r="184" spans="1:11" x14ac:dyDescent="0.3">
      <c r="A184" t="s">
        <v>169</v>
      </c>
      <c r="B184">
        <f t="shared" si="2"/>
        <v>2016</v>
      </c>
      <c r="C184" s="6">
        <v>42702</v>
      </c>
      <c r="D184" s="6">
        <v>42713</v>
      </c>
      <c r="E184" t="s">
        <v>170</v>
      </c>
      <c r="F184" t="s">
        <v>171</v>
      </c>
      <c r="G184" t="s">
        <v>172</v>
      </c>
      <c r="H184" t="s">
        <v>173</v>
      </c>
      <c r="I184" t="s">
        <v>15</v>
      </c>
      <c r="J184" t="s">
        <v>17</v>
      </c>
      <c r="K184">
        <v>831.93600000000004</v>
      </c>
    </row>
    <row r="185" spans="1:11" x14ac:dyDescent="0.3">
      <c r="A185" t="s">
        <v>169</v>
      </c>
      <c r="B185">
        <f t="shared" si="2"/>
        <v>2016</v>
      </c>
      <c r="C185" s="6">
        <v>42710</v>
      </c>
      <c r="D185" s="6">
        <v>42713</v>
      </c>
      <c r="E185" t="s">
        <v>170</v>
      </c>
      <c r="F185" t="s">
        <v>171</v>
      </c>
      <c r="G185" t="s">
        <v>172</v>
      </c>
      <c r="H185" t="s">
        <v>173</v>
      </c>
      <c r="I185" t="s">
        <v>15</v>
      </c>
      <c r="J185" t="s">
        <v>35</v>
      </c>
      <c r="K185">
        <v>97.04</v>
      </c>
    </row>
    <row r="186" spans="1:11" x14ac:dyDescent="0.3">
      <c r="A186" t="s">
        <v>169</v>
      </c>
      <c r="B186">
        <f t="shared" si="2"/>
        <v>2016</v>
      </c>
      <c r="C186" s="6">
        <v>42710</v>
      </c>
      <c r="D186" s="6">
        <v>42714</v>
      </c>
      <c r="E186" t="s">
        <v>170</v>
      </c>
      <c r="F186" t="s">
        <v>171</v>
      </c>
      <c r="G186" t="s">
        <v>172</v>
      </c>
      <c r="H186" t="s">
        <v>173</v>
      </c>
      <c r="I186" t="s">
        <v>15</v>
      </c>
      <c r="J186" t="s">
        <v>31</v>
      </c>
      <c r="K186">
        <v>72.784000000000006</v>
      </c>
    </row>
    <row r="187" spans="1:11" x14ac:dyDescent="0.3">
      <c r="A187" t="s">
        <v>150</v>
      </c>
      <c r="B187">
        <f t="shared" si="2"/>
        <v>2016</v>
      </c>
      <c r="C187" s="6">
        <v>42710</v>
      </c>
      <c r="D187" s="6">
        <v>42714</v>
      </c>
      <c r="E187" t="s">
        <v>151</v>
      </c>
      <c r="F187" t="s">
        <v>152</v>
      </c>
      <c r="G187" t="s">
        <v>153</v>
      </c>
      <c r="H187" t="s">
        <v>109</v>
      </c>
      <c r="I187" t="s">
        <v>56</v>
      </c>
      <c r="J187" t="s">
        <v>17</v>
      </c>
      <c r="K187">
        <v>213.11500000000001</v>
      </c>
    </row>
    <row r="188" spans="1:11" x14ac:dyDescent="0.3">
      <c r="A188" t="s">
        <v>62</v>
      </c>
      <c r="B188">
        <f t="shared" si="2"/>
        <v>2016</v>
      </c>
      <c r="C188" s="6">
        <v>42710</v>
      </c>
      <c r="D188" s="6">
        <v>42714</v>
      </c>
      <c r="E188" t="s">
        <v>63</v>
      </c>
      <c r="F188" t="s">
        <v>64</v>
      </c>
      <c r="G188" t="s">
        <v>65</v>
      </c>
      <c r="H188" t="s">
        <v>66</v>
      </c>
      <c r="I188" t="s">
        <v>23</v>
      </c>
      <c r="J188" t="s">
        <v>31</v>
      </c>
      <c r="K188">
        <v>55.5</v>
      </c>
    </row>
    <row r="189" spans="1:11" x14ac:dyDescent="0.3">
      <c r="A189" t="s">
        <v>321</v>
      </c>
      <c r="B189">
        <f t="shared" si="2"/>
        <v>2016</v>
      </c>
      <c r="C189" s="6">
        <v>42710</v>
      </c>
      <c r="D189" s="6">
        <v>42717</v>
      </c>
      <c r="E189" t="s">
        <v>322</v>
      </c>
      <c r="F189" t="s">
        <v>323</v>
      </c>
      <c r="G189" t="s">
        <v>49</v>
      </c>
      <c r="H189" t="s">
        <v>50</v>
      </c>
      <c r="I189" t="s">
        <v>23</v>
      </c>
      <c r="J189" t="s">
        <v>36</v>
      </c>
      <c r="K189">
        <v>6.63</v>
      </c>
    </row>
    <row r="190" spans="1:11" x14ac:dyDescent="0.3">
      <c r="A190" t="s">
        <v>193</v>
      </c>
      <c r="B190">
        <f t="shared" si="2"/>
        <v>2016</v>
      </c>
      <c r="C190" s="6">
        <v>42710</v>
      </c>
      <c r="D190" s="6">
        <v>42717</v>
      </c>
      <c r="E190" t="s">
        <v>123</v>
      </c>
      <c r="F190" t="s">
        <v>124</v>
      </c>
      <c r="G190" t="s">
        <v>194</v>
      </c>
      <c r="H190" t="s">
        <v>195</v>
      </c>
      <c r="I190" t="s">
        <v>15</v>
      </c>
      <c r="J190" t="s">
        <v>17</v>
      </c>
      <c r="K190">
        <v>301.95999999999998</v>
      </c>
    </row>
    <row r="191" spans="1:11" x14ac:dyDescent="0.3">
      <c r="A191" t="s">
        <v>317</v>
      </c>
      <c r="B191">
        <f t="shared" si="2"/>
        <v>2016</v>
      </c>
      <c r="C191" s="6">
        <v>42710</v>
      </c>
      <c r="D191" s="6">
        <v>42721</v>
      </c>
      <c r="E191" t="s">
        <v>318</v>
      </c>
      <c r="F191" t="s">
        <v>319</v>
      </c>
      <c r="G191" t="s">
        <v>320</v>
      </c>
      <c r="H191" t="s">
        <v>22</v>
      </c>
      <c r="I191" t="s">
        <v>23</v>
      </c>
      <c r="J191" t="s">
        <v>45</v>
      </c>
      <c r="K191">
        <v>58.38</v>
      </c>
    </row>
    <row r="192" spans="1:11" x14ac:dyDescent="0.3">
      <c r="A192" t="s">
        <v>317</v>
      </c>
      <c r="B192">
        <f t="shared" si="2"/>
        <v>2016</v>
      </c>
      <c r="C192" s="6">
        <v>42710</v>
      </c>
      <c r="D192" s="6">
        <v>42721</v>
      </c>
      <c r="E192" t="s">
        <v>318</v>
      </c>
      <c r="F192" t="s">
        <v>319</v>
      </c>
      <c r="G192" t="s">
        <v>320</v>
      </c>
      <c r="H192" t="s">
        <v>22</v>
      </c>
      <c r="I192" t="s">
        <v>23</v>
      </c>
      <c r="J192" t="s">
        <v>45</v>
      </c>
      <c r="K192">
        <v>105.52</v>
      </c>
    </row>
    <row r="193" spans="1:11" x14ac:dyDescent="0.3">
      <c r="A193" t="s">
        <v>317</v>
      </c>
      <c r="B193">
        <f t="shared" si="2"/>
        <v>2017</v>
      </c>
      <c r="C193" s="6">
        <v>42747</v>
      </c>
      <c r="D193" s="6">
        <v>42771</v>
      </c>
      <c r="E193" t="s">
        <v>318</v>
      </c>
      <c r="F193" t="s">
        <v>319</v>
      </c>
      <c r="G193" t="s">
        <v>320</v>
      </c>
      <c r="H193" t="s">
        <v>22</v>
      </c>
      <c r="I193" t="s">
        <v>23</v>
      </c>
      <c r="J193" t="s">
        <v>31</v>
      </c>
      <c r="K193">
        <v>80.88</v>
      </c>
    </row>
    <row r="194" spans="1:11" x14ac:dyDescent="0.3">
      <c r="A194" t="s">
        <v>143</v>
      </c>
      <c r="B194">
        <f t="shared" si="2"/>
        <v>2017</v>
      </c>
      <c r="C194" s="6">
        <v>42747</v>
      </c>
      <c r="D194" s="6">
        <v>42771</v>
      </c>
      <c r="E194" t="s">
        <v>144</v>
      </c>
      <c r="F194" t="s">
        <v>145</v>
      </c>
      <c r="G194" t="s">
        <v>146</v>
      </c>
      <c r="H194" t="s">
        <v>141</v>
      </c>
      <c r="I194" t="s">
        <v>81</v>
      </c>
      <c r="J194" t="s">
        <v>31</v>
      </c>
      <c r="K194">
        <v>208.56</v>
      </c>
    </row>
    <row r="195" spans="1:11" x14ac:dyDescent="0.3">
      <c r="A195" t="s">
        <v>143</v>
      </c>
      <c r="B195">
        <f t="shared" ref="B195:B240" si="3">YEAR(C195)</f>
        <v>2017</v>
      </c>
      <c r="C195" s="6">
        <v>42747</v>
      </c>
      <c r="D195" s="6">
        <v>42771</v>
      </c>
      <c r="E195" t="s">
        <v>144</v>
      </c>
      <c r="F195" t="s">
        <v>145</v>
      </c>
      <c r="G195" t="s">
        <v>146</v>
      </c>
      <c r="H195" t="s">
        <v>141</v>
      </c>
      <c r="I195" t="s">
        <v>81</v>
      </c>
      <c r="J195" t="s">
        <v>45</v>
      </c>
      <c r="K195">
        <v>32.4</v>
      </c>
    </row>
    <row r="196" spans="1:11" x14ac:dyDescent="0.3">
      <c r="A196" t="s">
        <v>143</v>
      </c>
      <c r="B196">
        <f t="shared" si="3"/>
        <v>2017</v>
      </c>
      <c r="C196" s="6">
        <v>42747</v>
      </c>
      <c r="D196" s="6">
        <v>42837</v>
      </c>
      <c r="E196" t="s">
        <v>144</v>
      </c>
      <c r="F196" t="s">
        <v>145</v>
      </c>
      <c r="G196" t="s">
        <v>146</v>
      </c>
      <c r="H196" t="s">
        <v>141</v>
      </c>
      <c r="I196" t="s">
        <v>81</v>
      </c>
      <c r="J196" t="s">
        <v>17</v>
      </c>
      <c r="K196">
        <v>319.41000000000003</v>
      </c>
    </row>
    <row r="197" spans="1:11" x14ac:dyDescent="0.3">
      <c r="A197" t="s">
        <v>143</v>
      </c>
      <c r="B197">
        <f t="shared" si="3"/>
        <v>2017</v>
      </c>
      <c r="C197" s="6">
        <v>42747</v>
      </c>
      <c r="D197" s="6">
        <v>42837</v>
      </c>
      <c r="E197" t="s">
        <v>144</v>
      </c>
      <c r="F197" t="s">
        <v>145</v>
      </c>
      <c r="G197" t="s">
        <v>146</v>
      </c>
      <c r="H197" t="s">
        <v>141</v>
      </c>
      <c r="I197" t="s">
        <v>81</v>
      </c>
      <c r="J197" t="s">
        <v>45</v>
      </c>
      <c r="K197">
        <v>14.56</v>
      </c>
    </row>
    <row r="198" spans="1:11" x14ac:dyDescent="0.3">
      <c r="A198" t="s">
        <v>143</v>
      </c>
      <c r="B198">
        <f t="shared" si="3"/>
        <v>2017</v>
      </c>
      <c r="C198" s="6">
        <v>42768</v>
      </c>
      <c r="D198" s="6">
        <v>42837</v>
      </c>
      <c r="E198" t="s">
        <v>144</v>
      </c>
      <c r="F198" t="s">
        <v>145</v>
      </c>
      <c r="G198" t="s">
        <v>146</v>
      </c>
      <c r="H198" t="s">
        <v>141</v>
      </c>
      <c r="I198" t="s">
        <v>81</v>
      </c>
      <c r="J198" t="s">
        <v>89</v>
      </c>
      <c r="K198">
        <v>30</v>
      </c>
    </row>
    <row r="199" spans="1:11" x14ac:dyDescent="0.3">
      <c r="A199" t="s">
        <v>143</v>
      </c>
      <c r="B199">
        <f t="shared" si="3"/>
        <v>2017</v>
      </c>
      <c r="C199" s="6">
        <v>42768</v>
      </c>
      <c r="D199" s="6">
        <v>42837</v>
      </c>
      <c r="E199" t="s">
        <v>144</v>
      </c>
      <c r="F199" t="s">
        <v>145</v>
      </c>
      <c r="G199" t="s">
        <v>146</v>
      </c>
      <c r="H199" t="s">
        <v>141</v>
      </c>
      <c r="I199" t="s">
        <v>81</v>
      </c>
      <c r="J199" t="s">
        <v>38</v>
      </c>
      <c r="K199">
        <v>48.48</v>
      </c>
    </row>
    <row r="200" spans="1:11" x14ac:dyDescent="0.3">
      <c r="A200" t="s">
        <v>143</v>
      </c>
      <c r="B200">
        <f t="shared" si="3"/>
        <v>2017</v>
      </c>
      <c r="C200" s="6">
        <v>42768</v>
      </c>
      <c r="D200" s="6">
        <v>42837</v>
      </c>
      <c r="E200" t="s">
        <v>144</v>
      </c>
      <c r="F200" t="s">
        <v>145</v>
      </c>
      <c r="G200" t="s">
        <v>146</v>
      </c>
      <c r="H200" t="s">
        <v>141</v>
      </c>
      <c r="I200" t="s">
        <v>81</v>
      </c>
      <c r="J200" t="s">
        <v>36</v>
      </c>
      <c r="K200">
        <v>1.68</v>
      </c>
    </row>
    <row r="201" spans="1:11" x14ac:dyDescent="0.3">
      <c r="A201" t="s">
        <v>218</v>
      </c>
      <c r="B201">
        <f t="shared" si="3"/>
        <v>2017</v>
      </c>
      <c r="C201" s="6">
        <v>42800</v>
      </c>
      <c r="D201" s="6">
        <v>42845</v>
      </c>
      <c r="E201" t="s">
        <v>219</v>
      </c>
      <c r="F201" t="s">
        <v>220</v>
      </c>
      <c r="G201" t="s">
        <v>70</v>
      </c>
      <c r="H201" t="s">
        <v>22</v>
      </c>
      <c r="I201" t="s">
        <v>23</v>
      </c>
      <c r="J201" t="s">
        <v>38</v>
      </c>
      <c r="K201">
        <v>51.311999999999998</v>
      </c>
    </row>
    <row r="202" spans="1:11" x14ac:dyDescent="0.3">
      <c r="A202" t="s">
        <v>127</v>
      </c>
      <c r="B202">
        <f t="shared" si="3"/>
        <v>2017</v>
      </c>
      <c r="C202" s="6">
        <v>42840</v>
      </c>
      <c r="D202" s="6">
        <v>42850</v>
      </c>
      <c r="E202" t="s">
        <v>128</v>
      </c>
      <c r="F202" t="s">
        <v>129</v>
      </c>
      <c r="G202" t="s">
        <v>130</v>
      </c>
      <c r="H202" t="s">
        <v>131</v>
      </c>
      <c r="I202" t="s">
        <v>81</v>
      </c>
      <c r="J202" t="s">
        <v>89</v>
      </c>
      <c r="K202">
        <v>45</v>
      </c>
    </row>
    <row r="203" spans="1:11" x14ac:dyDescent="0.3">
      <c r="A203" t="s">
        <v>127</v>
      </c>
      <c r="B203">
        <f t="shared" si="3"/>
        <v>2017</v>
      </c>
      <c r="C203" s="6">
        <v>42846</v>
      </c>
      <c r="D203" s="6">
        <v>42885</v>
      </c>
      <c r="E203" t="s">
        <v>128</v>
      </c>
      <c r="F203" t="s">
        <v>129</v>
      </c>
      <c r="G203" t="s">
        <v>130</v>
      </c>
      <c r="H203" t="s">
        <v>131</v>
      </c>
      <c r="I203" t="s">
        <v>81</v>
      </c>
      <c r="J203" t="s">
        <v>37</v>
      </c>
      <c r="K203">
        <v>21.8</v>
      </c>
    </row>
    <row r="204" spans="1:11" x14ac:dyDescent="0.3">
      <c r="A204" t="s">
        <v>403</v>
      </c>
      <c r="B204">
        <f t="shared" si="3"/>
        <v>2017</v>
      </c>
      <c r="C204" s="6">
        <v>42866</v>
      </c>
      <c r="D204" s="6">
        <v>42893</v>
      </c>
      <c r="E204" t="s">
        <v>404</v>
      </c>
      <c r="F204" t="s">
        <v>405</v>
      </c>
      <c r="G204" t="s">
        <v>406</v>
      </c>
      <c r="H204" t="s">
        <v>256</v>
      </c>
      <c r="I204" t="s">
        <v>81</v>
      </c>
      <c r="J204" t="s">
        <v>45</v>
      </c>
      <c r="K204">
        <v>21.744</v>
      </c>
    </row>
    <row r="205" spans="1:11" x14ac:dyDescent="0.3">
      <c r="A205" t="s">
        <v>380</v>
      </c>
      <c r="B205">
        <f t="shared" si="3"/>
        <v>2017</v>
      </c>
      <c r="C205" s="6">
        <v>42866</v>
      </c>
      <c r="D205" s="6">
        <v>42906</v>
      </c>
      <c r="E205" t="s">
        <v>381</v>
      </c>
      <c r="F205" t="s">
        <v>382</v>
      </c>
      <c r="G205" t="s">
        <v>383</v>
      </c>
      <c r="H205" t="s">
        <v>55</v>
      </c>
      <c r="I205" t="s">
        <v>56</v>
      </c>
      <c r="J205" t="s">
        <v>31</v>
      </c>
      <c r="K205">
        <v>37.223999999999997</v>
      </c>
    </row>
    <row r="206" spans="1:11" x14ac:dyDescent="0.3">
      <c r="A206" t="s">
        <v>380</v>
      </c>
      <c r="B206">
        <f t="shared" si="3"/>
        <v>2017</v>
      </c>
      <c r="C206" s="6">
        <v>42883</v>
      </c>
      <c r="D206" s="6">
        <v>42915</v>
      </c>
      <c r="E206" t="s">
        <v>381</v>
      </c>
      <c r="F206" t="s">
        <v>382</v>
      </c>
      <c r="G206" t="s">
        <v>383</v>
      </c>
      <c r="H206" t="s">
        <v>55</v>
      </c>
      <c r="I206" t="s">
        <v>56</v>
      </c>
      <c r="J206" t="s">
        <v>45</v>
      </c>
      <c r="K206">
        <v>20.015999999999998</v>
      </c>
    </row>
    <row r="207" spans="1:11" x14ac:dyDescent="0.3">
      <c r="A207" t="s">
        <v>76</v>
      </c>
      <c r="B207">
        <f t="shared" si="3"/>
        <v>2017</v>
      </c>
      <c r="C207" s="6">
        <v>42893</v>
      </c>
      <c r="D207" s="6">
        <v>42929</v>
      </c>
      <c r="E207" t="s">
        <v>77</v>
      </c>
      <c r="F207" t="s">
        <v>78</v>
      </c>
      <c r="G207" t="s">
        <v>79</v>
      </c>
      <c r="H207" t="s">
        <v>80</v>
      </c>
      <c r="I207" t="s">
        <v>81</v>
      </c>
      <c r="J207" t="s">
        <v>17</v>
      </c>
      <c r="K207">
        <v>71.372</v>
      </c>
    </row>
    <row r="208" spans="1:11" x14ac:dyDescent="0.3">
      <c r="A208" t="s">
        <v>110</v>
      </c>
      <c r="B208">
        <f t="shared" si="3"/>
        <v>2017</v>
      </c>
      <c r="C208" s="6">
        <v>42893</v>
      </c>
      <c r="D208" s="6">
        <v>42929</v>
      </c>
      <c r="E208" t="s">
        <v>111</v>
      </c>
      <c r="F208" t="s">
        <v>112</v>
      </c>
      <c r="G208" t="s">
        <v>21</v>
      </c>
      <c r="H208" t="s">
        <v>22</v>
      </c>
      <c r="I208" t="s">
        <v>23</v>
      </c>
      <c r="J208" t="s">
        <v>31</v>
      </c>
      <c r="K208">
        <v>77.88</v>
      </c>
    </row>
    <row r="209" spans="1:11" x14ac:dyDescent="0.3">
      <c r="A209" t="s">
        <v>252</v>
      </c>
      <c r="B209">
        <f t="shared" si="3"/>
        <v>2017</v>
      </c>
      <c r="C209" s="6">
        <v>42897</v>
      </c>
      <c r="D209" s="6">
        <v>42934</v>
      </c>
      <c r="E209" t="s">
        <v>253</v>
      </c>
      <c r="F209" t="s">
        <v>254</v>
      </c>
      <c r="G209" t="s">
        <v>255</v>
      </c>
      <c r="H209" t="s">
        <v>256</v>
      </c>
      <c r="I209" t="s">
        <v>81</v>
      </c>
      <c r="J209" t="s">
        <v>142</v>
      </c>
      <c r="K209">
        <v>40.095999999999997</v>
      </c>
    </row>
    <row r="210" spans="1:11" x14ac:dyDescent="0.3">
      <c r="A210" t="s">
        <v>252</v>
      </c>
      <c r="B210">
        <f t="shared" si="3"/>
        <v>2017</v>
      </c>
      <c r="C210" s="6">
        <v>42897</v>
      </c>
      <c r="D210" s="6">
        <v>42993</v>
      </c>
      <c r="E210" t="s">
        <v>253</v>
      </c>
      <c r="F210" t="s">
        <v>254</v>
      </c>
      <c r="G210" t="s">
        <v>255</v>
      </c>
      <c r="H210" t="s">
        <v>256</v>
      </c>
      <c r="I210" t="s">
        <v>81</v>
      </c>
      <c r="J210" t="s">
        <v>93</v>
      </c>
      <c r="K210">
        <v>4.72</v>
      </c>
    </row>
    <row r="211" spans="1:11" x14ac:dyDescent="0.3">
      <c r="A211" t="s">
        <v>252</v>
      </c>
      <c r="B211">
        <f t="shared" si="3"/>
        <v>2017</v>
      </c>
      <c r="C211" s="6">
        <v>42903</v>
      </c>
      <c r="D211" s="6">
        <v>42995</v>
      </c>
      <c r="E211" t="s">
        <v>253</v>
      </c>
      <c r="F211" t="s">
        <v>254</v>
      </c>
      <c r="G211" t="s">
        <v>255</v>
      </c>
      <c r="H211" t="s">
        <v>256</v>
      </c>
      <c r="I211" t="s">
        <v>81</v>
      </c>
      <c r="J211" t="s">
        <v>45</v>
      </c>
      <c r="K211">
        <v>23.975999999999999</v>
      </c>
    </row>
    <row r="212" spans="1:11" x14ac:dyDescent="0.3">
      <c r="A212" t="s">
        <v>252</v>
      </c>
      <c r="B212">
        <f t="shared" si="3"/>
        <v>2017</v>
      </c>
      <c r="C212" s="6">
        <v>42910</v>
      </c>
      <c r="D212" s="6">
        <v>43001</v>
      </c>
      <c r="E212" t="s">
        <v>253</v>
      </c>
      <c r="F212" t="s">
        <v>254</v>
      </c>
      <c r="G212" t="s">
        <v>255</v>
      </c>
      <c r="H212" t="s">
        <v>256</v>
      </c>
      <c r="I212" t="s">
        <v>81</v>
      </c>
      <c r="J212" t="s">
        <v>93</v>
      </c>
      <c r="K212">
        <v>130.464</v>
      </c>
    </row>
    <row r="213" spans="1:11" x14ac:dyDescent="0.3">
      <c r="A213" t="s">
        <v>377</v>
      </c>
      <c r="B213">
        <f t="shared" si="3"/>
        <v>2017</v>
      </c>
      <c r="C213" s="6">
        <v>42920</v>
      </c>
      <c r="D213" s="6">
        <v>43001</v>
      </c>
      <c r="E213" t="s">
        <v>378</v>
      </c>
      <c r="F213" t="s">
        <v>379</v>
      </c>
      <c r="G213" t="s">
        <v>21</v>
      </c>
      <c r="H213" t="s">
        <v>22</v>
      </c>
      <c r="I213" t="s">
        <v>23</v>
      </c>
      <c r="J213" t="s">
        <v>89</v>
      </c>
      <c r="K213">
        <v>176.8</v>
      </c>
    </row>
    <row r="214" spans="1:11" x14ac:dyDescent="0.3">
      <c r="A214" t="s">
        <v>67</v>
      </c>
      <c r="B214">
        <f t="shared" si="3"/>
        <v>2017</v>
      </c>
      <c r="C214" s="6">
        <v>42920</v>
      </c>
      <c r="D214" s="6">
        <v>43001</v>
      </c>
      <c r="E214" t="s">
        <v>68</v>
      </c>
      <c r="F214" t="s">
        <v>69</v>
      </c>
      <c r="G214" t="s">
        <v>70</v>
      </c>
      <c r="H214" t="s">
        <v>22</v>
      </c>
      <c r="I214" t="s">
        <v>23</v>
      </c>
      <c r="J214" t="s">
        <v>36</v>
      </c>
      <c r="K214">
        <v>8.56</v>
      </c>
    </row>
    <row r="215" spans="1:11" x14ac:dyDescent="0.3">
      <c r="A215" t="s">
        <v>67</v>
      </c>
      <c r="B215">
        <f t="shared" si="3"/>
        <v>2017</v>
      </c>
      <c r="C215" s="6">
        <v>42920</v>
      </c>
      <c r="D215" s="6">
        <v>43001</v>
      </c>
      <c r="E215" t="s">
        <v>68</v>
      </c>
      <c r="F215" t="s">
        <v>69</v>
      </c>
      <c r="G215" t="s">
        <v>70</v>
      </c>
      <c r="H215" t="s">
        <v>22</v>
      </c>
      <c r="I215" t="s">
        <v>23</v>
      </c>
      <c r="J215" t="s">
        <v>37</v>
      </c>
      <c r="K215">
        <v>213.48</v>
      </c>
    </row>
    <row r="216" spans="1:11" x14ac:dyDescent="0.3">
      <c r="A216" t="s">
        <v>67</v>
      </c>
      <c r="B216">
        <f t="shared" si="3"/>
        <v>2017</v>
      </c>
      <c r="C216" s="6">
        <v>42920</v>
      </c>
      <c r="D216" s="6">
        <v>43031</v>
      </c>
      <c r="E216" t="s">
        <v>68</v>
      </c>
      <c r="F216" t="s">
        <v>69</v>
      </c>
      <c r="G216" t="s">
        <v>70</v>
      </c>
      <c r="H216" t="s">
        <v>22</v>
      </c>
      <c r="I216" t="s">
        <v>23</v>
      </c>
      <c r="J216" t="s">
        <v>38</v>
      </c>
      <c r="K216">
        <v>22.72</v>
      </c>
    </row>
    <row r="217" spans="1:11" x14ac:dyDescent="0.3">
      <c r="A217" t="s">
        <v>225</v>
      </c>
      <c r="B217">
        <f t="shared" si="3"/>
        <v>2017</v>
      </c>
      <c r="C217" s="6">
        <v>42920</v>
      </c>
      <c r="D217" s="6">
        <v>43041</v>
      </c>
      <c r="E217" t="s">
        <v>226</v>
      </c>
      <c r="F217" t="s">
        <v>227</v>
      </c>
      <c r="G217" t="s">
        <v>153</v>
      </c>
      <c r="H217" t="s">
        <v>109</v>
      </c>
      <c r="I217" t="s">
        <v>56</v>
      </c>
      <c r="J217" t="s">
        <v>45</v>
      </c>
      <c r="K217">
        <v>64.623999999999995</v>
      </c>
    </row>
    <row r="218" spans="1:11" x14ac:dyDescent="0.3">
      <c r="A218" t="s">
        <v>225</v>
      </c>
      <c r="B218">
        <f t="shared" si="3"/>
        <v>2017</v>
      </c>
      <c r="C218" s="6">
        <v>42932</v>
      </c>
      <c r="D218" s="6">
        <v>43041</v>
      </c>
      <c r="E218" t="s">
        <v>226</v>
      </c>
      <c r="F218" t="s">
        <v>227</v>
      </c>
      <c r="G218" t="s">
        <v>153</v>
      </c>
      <c r="H218" t="s">
        <v>109</v>
      </c>
      <c r="I218" t="s">
        <v>56</v>
      </c>
      <c r="J218" t="s">
        <v>89</v>
      </c>
      <c r="K218">
        <v>95.975999999999999</v>
      </c>
    </row>
    <row r="219" spans="1:11" x14ac:dyDescent="0.3">
      <c r="A219" t="s">
        <v>225</v>
      </c>
      <c r="B219">
        <f t="shared" si="3"/>
        <v>2017</v>
      </c>
      <c r="C219" s="6">
        <v>42989</v>
      </c>
      <c r="D219" s="6">
        <v>43050</v>
      </c>
      <c r="E219" t="s">
        <v>226</v>
      </c>
      <c r="F219" t="s">
        <v>227</v>
      </c>
      <c r="G219" t="s">
        <v>153</v>
      </c>
      <c r="H219" t="s">
        <v>109</v>
      </c>
      <c r="I219" t="s">
        <v>56</v>
      </c>
      <c r="J219" t="s">
        <v>38</v>
      </c>
      <c r="K219">
        <v>1.788</v>
      </c>
    </row>
    <row r="220" spans="1:11" x14ac:dyDescent="0.3">
      <c r="A220" t="s">
        <v>447</v>
      </c>
      <c r="B220">
        <f t="shared" si="3"/>
        <v>2017</v>
      </c>
      <c r="C220" s="6">
        <v>42990</v>
      </c>
      <c r="D220" s="6">
        <v>43051</v>
      </c>
      <c r="E220" t="s">
        <v>448</v>
      </c>
      <c r="F220" t="s">
        <v>449</v>
      </c>
      <c r="G220" t="s">
        <v>239</v>
      </c>
      <c r="H220" t="s">
        <v>44</v>
      </c>
      <c r="I220" t="s">
        <v>15</v>
      </c>
      <c r="J220" t="s">
        <v>38</v>
      </c>
      <c r="K220">
        <v>18.648</v>
      </c>
    </row>
    <row r="221" spans="1:11" x14ac:dyDescent="0.3">
      <c r="A221" t="s">
        <v>354</v>
      </c>
      <c r="B221">
        <f t="shared" si="3"/>
        <v>2017</v>
      </c>
      <c r="C221" s="6">
        <v>42990</v>
      </c>
      <c r="D221" s="6">
        <v>43051</v>
      </c>
      <c r="E221" t="s">
        <v>355</v>
      </c>
      <c r="F221" t="s">
        <v>356</v>
      </c>
      <c r="G221" t="s">
        <v>153</v>
      </c>
      <c r="H221" t="s">
        <v>109</v>
      </c>
      <c r="I221" t="s">
        <v>56</v>
      </c>
      <c r="J221" t="s">
        <v>39</v>
      </c>
      <c r="K221">
        <v>52.448</v>
      </c>
    </row>
    <row r="222" spans="1:11" x14ac:dyDescent="0.3">
      <c r="A222" t="s">
        <v>354</v>
      </c>
      <c r="B222">
        <f t="shared" si="3"/>
        <v>2017</v>
      </c>
      <c r="C222" s="6">
        <v>42990</v>
      </c>
      <c r="D222" s="6">
        <v>43051</v>
      </c>
      <c r="E222" t="s">
        <v>355</v>
      </c>
      <c r="F222" t="s">
        <v>356</v>
      </c>
      <c r="G222" t="s">
        <v>153</v>
      </c>
      <c r="H222" t="s">
        <v>109</v>
      </c>
      <c r="I222" t="s">
        <v>56</v>
      </c>
      <c r="J222" t="s">
        <v>24</v>
      </c>
      <c r="K222">
        <v>20.16</v>
      </c>
    </row>
    <row r="223" spans="1:11" x14ac:dyDescent="0.3">
      <c r="A223" t="s">
        <v>167</v>
      </c>
      <c r="B223">
        <f t="shared" si="3"/>
        <v>2017</v>
      </c>
      <c r="C223" s="6">
        <v>42990</v>
      </c>
      <c r="D223" s="6">
        <v>43052</v>
      </c>
      <c r="E223" t="s">
        <v>91</v>
      </c>
      <c r="F223" t="s">
        <v>92</v>
      </c>
      <c r="G223" t="s">
        <v>168</v>
      </c>
      <c r="H223" t="s">
        <v>126</v>
      </c>
      <c r="I223" t="s">
        <v>56</v>
      </c>
      <c r="J223" t="s">
        <v>45</v>
      </c>
      <c r="K223">
        <v>19.05</v>
      </c>
    </row>
    <row r="224" spans="1:11" x14ac:dyDescent="0.3">
      <c r="A224" t="s">
        <v>90</v>
      </c>
      <c r="B224">
        <f t="shared" si="3"/>
        <v>2017</v>
      </c>
      <c r="C224" s="6">
        <v>42992</v>
      </c>
      <c r="D224" s="6">
        <v>43055</v>
      </c>
      <c r="E224" t="s">
        <v>91</v>
      </c>
      <c r="F224" t="s">
        <v>92</v>
      </c>
      <c r="G224" t="s">
        <v>79</v>
      </c>
      <c r="H224" t="s">
        <v>80</v>
      </c>
      <c r="I224" t="s">
        <v>81</v>
      </c>
      <c r="J224" t="s">
        <v>16</v>
      </c>
      <c r="K224">
        <v>3083.43</v>
      </c>
    </row>
    <row r="225" spans="1:11" x14ac:dyDescent="0.3">
      <c r="A225" t="s">
        <v>90</v>
      </c>
      <c r="B225">
        <f t="shared" si="3"/>
        <v>2017</v>
      </c>
      <c r="C225" s="6">
        <v>42996</v>
      </c>
      <c r="D225" s="6">
        <v>43055</v>
      </c>
      <c r="E225" t="s">
        <v>91</v>
      </c>
      <c r="F225" t="s">
        <v>92</v>
      </c>
      <c r="G225" t="s">
        <v>79</v>
      </c>
      <c r="H225" t="s">
        <v>80</v>
      </c>
      <c r="I225" t="s">
        <v>81</v>
      </c>
      <c r="J225" t="s">
        <v>38</v>
      </c>
      <c r="K225">
        <v>9.6180000000000003</v>
      </c>
    </row>
    <row r="226" spans="1:11" x14ac:dyDescent="0.3">
      <c r="A226" t="s">
        <v>90</v>
      </c>
      <c r="B226">
        <f t="shared" si="3"/>
        <v>2017</v>
      </c>
      <c r="C226" s="6">
        <v>42996</v>
      </c>
      <c r="D226" s="6">
        <v>43067</v>
      </c>
      <c r="E226" t="s">
        <v>91</v>
      </c>
      <c r="F226" t="s">
        <v>92</v>
      </c>
      <c r="G226" t="s">
        <v>79</v>
      </c>
      <c r="H226" t="s">
        <v>80</v>
      </c>
      <c r="I226" t="s">
        <v>81</v>
      </c>
      <c r="J226" t="s">
        <v>35</v>
      </c>
      <c r="K226">
        <v>124.2</v>
      </c>
    </row>
    <row r="227" spans="1:11" x14ac:dyDescent="0.3">
      <c r="A227" t="s">
        <v>90</v>
      </c>
      <c r="B227">
        <f t="shared" si="3"/>
        <v>2017</v>
      </c>
      <c r="C227" s="6">
        <v>42996</v>
      </c>
      <c r="D227" s="6">
        <v>43067</v>
      </c>
      <c r="E227" t="s">
        <v>91</v>
      </c>
      <c r="F227" t="s">
        <v>92</v>
      </c>
      <c r="G227" t="s">
        <v>79</v>
      </c>
      <c r="H227" t="s">
        <v>80</v>
      </c>
      <c r="I227" t="s">
        <v>81</v>
      </c>
      <c r="J227" t="s">
        <v>93</v>
      </c>
      <c r="K227">
        <v>3.2639999999999998</v>
      </c>
    </row>
    <row r="228" spans="1:11" x14ac:dyDescent="0.3">
      <c r="A228" t="s">
        <v>90</v>
      </c>
      <c r="B228">
        <f t="shared" si="3"/>
        <v>2017</v>
      </c>
      <c r="C228" s="6">
        <v>42997</v>
      </c>
      <c r="D228" s="6">
        <v>43067</v>
      </c>
      <c r="E228" t="s">
        <v>91</v>
      </c>
      <c r="F228" t="s">
        <v>92</v>
      </c>
      <c r="G228" t="s">
        <v>79</v>
      </c>
      <c r="H228" t="s">
        <v>80</v>
      </c>
      <c r="I228" t="s">
        <v>81</v>
      </c>
      <c r="J228" t="s">
        <v>36</v>
      </c>
      <c r="K228">
        <v>86.304000000000002</v>
      </c>
    </row>
    <row r="229" spans="1:11" x14ac:dyDescent="0.3">
      <c r="A229" t="s">
        <v>90</v>
      </c>
      <c r="B229">
        <f t="shared" si="3"/>
        <v>2017</v>
      </c>
      <c r="C229" s="6">
        <v>43017</v>
      </c>
      <c r="D229" s="6">
        <v>43076</v>
      </c>
      <c r="E229" t="s">
        <v>91</v>
      </c>
      <c r="F229" t="s">
        <v>92</v>
      </c>
      <c r="G229" t="s">
        <v>79</v>
      </c>
      <c r="H229" t="s">
        <v>80</v>
      </c>
      <c r="I229" t="s">
        <v>81</v>
      </c>
      <c r="J229" t="s">
        <v>38</v>
      </c>
      <c r="K229">
        <v>6.8579999999999997</v>
      </c>
    </row>
    <row r="230" spans="1:11" x14ac:dyDescent="0.3">
      <c r="A230" t="s">
        <v>90</v>
      </c>
      <c r="B230">
        <f t="shared" si="3"/>
        <v>2017</v>
      </c>
      <c r="C230" s="6">
        <v>43027</v>
      </c>
      <c r="D230" s="6">
        <v>43076</v>
      </c>
      <c r="E230" t="s">
        <v>91</v>
      </c>
      <c r="F230" t="s">
        <v>92</v>
      </c>
      <c r="G230" t="s">
        <v>79</v>
      </c>
      <c r="H230" t="s">
        <v>80</v>
      </c>
      <c r="I230" t="s">
        <v>81</v>
      </c>
      <c r="J230" t="s">
        <v>36</v>
      </c>
      <c r="K230">
        <v>15.76</v>
      </c>
    </row>
    <row r="231" spans="1:11" x14ac:dyDescent="0.3">
      <c r="A231" t="s">
        <v>203</v>
      </c>
      <c r="B231">
        <f t="shared" si="3"/>
        <v>2017</v>
      </c>
      <c r="C231" s="6">
        <v>43034</v>
      </c>
      <c r="D231" s="6">
        <v>43076</v>
      </c>
      <c r="E231" t="s">
        <v>204</v>
      </c>
      <c r="F231" t="s">
        <v>205</v>
      </c>
      <c r="G231" t="s">
        <v>21</v>
      </c>
      <c r="H231" t="s">
        <v>22</v>
      </c>
      <c r="I231" t="s">
        <v>23</v>
      </c>
      <c r="J231" t="s">
        <v>36</v>
      </c>
      <c r="K231">
        <v>20.100000000000001</v>
      </c>
    </row>
    <row r="232" spans="1:11" x14ac:dyDescent="0.3">
      <c r="A232" t="s">
        <v>203</v>
      </c>
      <c r="B232">
        <f t="shared" si="3"/>
        <v>2017</v>
      </c>
      <c r="C232" s="6">
        <v>43034</v>
      </c>
      <c r="D232" s="6">
        <v>43076</v>
      </c>
      <c r="E232" t="s">
        <v>204</v>
      </c>
      <c r="F232" t="s">
        <v>205</v>
      </c>
      <c r="G232" t="s">
        <v>21</v>
      </c>
      <c r="H232" t="s">
        <v>22</v>
      </c>
      <c r="I232" t="s">
        <v>23</v>
      </c>
      <c r="J232" t="s">
        <v>37</v>
      </c>
      <c r="K232">
        <v>73.584000000000003</v>
      </c>
    </row>
    <row r="233" spans="1:11" x14ac:dyDescent="0.3">
      <c r="A233" t="s">
        <v>203</v>
      </c>
      <c r="B233">
        <f t="shared" si="3"/>
        <v>2017</v>
      </c>
      <c r="C233" s="6">
        <v>43052</v>
      </c>
      <c r="D233" s="6">
        <v>43076</v>
      </c>
      <c r="E233" t="s">
        <v>204</v>
      </c>
      <c r="F233" t="s">
        <v>205</v>
      </c>
      <c r="G233" t="s">
        <v>21</v>
      </c>
      <c r="H233" t="s">
        <v>22</v>
      </c>
      <c r="I233" t="s">
        <v>23</v>
      </c>
      <c r="J233" t="s">
        <v>45</v>
      </c>
      <c r="K233">
        <v>6.48</v>
      </c>
    </row>
    <row r="234" spans="1:11" x14ac:dyDescent="0.3">
      <c r="A234" t="s">
        <v>164</v>
      </c>
      <c r="B234">
        <f t="shared" si="3"/>
        <v>2017</v>
      </c>
      <c r="C234" s="6">
        <v>43062</v>
      </c>
      <c r="D234" s="6">
        <v>43080</v>
      </c>
      <c r="E234" t="s">
        <v>165</v>
      </c>
      <c r="F234" t="s">
        <v>166</v>
      </c>
      <c r="G234" t="s">
        <v>140</v>
      </c>
      <c r="H234" t="s">
        <v>141</v>
      </c>
      <c r="I234" t="s">
        <v>81</v>
      </c>
      <c r="J234" t="s">
        <v>38</v>
      </c>
      <c r="K234">
        <v>4.6159999999999997</v>
      </c>
    </row>
    <row r="235" spans="1:11" x14ac:dyDescent="0.3">
      <c r="A235" t="s">
        <v>293</v>
      </c>
      <c r="B235">
        <f t="shared" si="3"/>
        <v>2017</v>
      </c>
      <c r="C235" s="6">
        <v>43062</v>
      </c>
      <c r="D235" s="6">
        <v>43080</v>
      </c>
      <c r="E235" t="s">
        <v>294</v>
      </c>
      <c r="F235" t="s">
        <v>295</v>
      </c>
      <c r="G235" t="s">
        <v>70</v>
      </c>
      <c r="H235" t="s">
        <v>22</v>
      </c>
      <c r="I235" t="s">
        <v>23</v>
      </c>
      <c r="J235" t="s">
        <v>36</v>
      </c>
      <c r="K235">
        <v>8.82</v>
      </c>
    </row>
    <row r="236" spans="1:11" x14ac:dyDescent="0.3">
      <c r="A236" t="s">
        <v>293</v>
      </c>
      <c r="B236">
        <f t="shared" si="3"/>
        <v>2017</v>
      </c>
      <c r="C236" s="6">
        <v>43062</v>
      </c>
      <c r="D236" s="6">
        <v>43080</v>
      </c>
      <c r="E236" t="s">
        <v>294</v>
      </c>
      <c r="F236" t="s">
        <v>295</v>
      </c>
      <c r="G236" t="s">
        <v>70</v>
      </c>
      <c r="H236" t="s">
        <v>22</v>
      </c>
      <c r="I236" t="s">
        <v>23</v>
      </c>
      <c r="J236" t="s">
        <v>93</v>
      </c>
      <c r="K236">
        <v>10.86</v>
      </c>
    </row>
    <row r="237" spans="1:11" x14ac:dyDescent="0.3">
      <c r="A237" t="s">
        <v>293</v>
      </c>
      <c r="B237">
        <f t="shared" si="3"/>
        <v>2017</v>
      </c>
      <c r="C237" s="6">
        <v>43080</v>
      </c>
      <c r="D237" s="6">
        <v>43083</v>
      </c>
      <c r="E237" t="s">
        <v>294</v>
      </c>
      <c r="F237" t="s">
        <v>295</v>
      </c>
      <c r="G237" t="s">
        <v>70</v>
      </c>
      <c r="H237" t="s">
        <v>22</v>
      </c>
      <c r="I237" t="s">
        <v>23</v>
      </c>
      <c r="J237" t="s">
        <v>45</v>
      </c>
      <c r="K237">
        <v>143.69999999999999</v>
      </c>
    </row>
    <row r="238" spans="1:11" x14ac:dyDescent="0.3">
      <c r="A238" t="s">
        <v>113</v>
      </c>
      <c r="B238">
        <f t="shared" si="3"/>
        <v>2017</v>
      </c>
      <c r="C238" s="6">
        <v>43086</v>
      </c>
      <c r="D238" s="6">
        <v>43090</v>
      </c>
      <c r="E238" t="s">
        <v>114</v>
      </c>
      <c r="F238" t="s">
        <v>115</v>
      </c>
      <c r="G238" t="s">
        <v>116</v>
      </c>
      <c r="H238" t="s">
        <v>29</v>
      </c>
      <c r="I238" t="s">
        <v>15</v>
      </c>
      <c r="J238" t="s">
        <v>31</v>
      </c>
      <c r="K238">
        <v>95.616</v>
      </c>
    </row>
    <row r="239" spans="1:11" x14ac:dyDescent="0.3">
      <c r="A239" t="s">
        <v>271</v>
      </c>
      <c r="B239">
        <f t="shared" si="3"/>
        <v>2017</v>
      </c>
      <c r="C239" s="6">
        <v>43091</v>
      </c>
      <c r="D239" s="6">
        <v>43096</v>
      </c>
      <c r="E239" t="s">
        <v>272</v>
      </c>
      <c r="F239" t="s">
        <v>273</v>
      </c>
      <c r="G239" t="s">
        <v>274</v>
      </c>
      <c r="H239" t="s">
        <v>109</v>
      </c>
      <c r="I239" t="s">
        <v>56</v>
      </c>
      <c r="J239" t="s">
        <v>30</v>
      </c>
      <c r="K239">
        <v>617.70000000000005</v>
      </c>
    </row>
    <row r="240" spans="1:11" x14ac:dyDescent="0.3">
      <c r="A240" t="s">
        <v>82</v>
      </c>
      <c r="B240">
        <f t="shared" si="3"/>
        <v>2017</v>
      </c>
      <c r="C240" s="6">
        <v>43094</v>
      </c>
      <c r="D240" s="6">
        <v>43099</v>
      </c>
      <c r="E240" t="s">
        <v>83</v>
      </c>
      <c r="F240" t="s">
        <v>84</v>
      </c>
      <c r="G240" t="s">
        <v>85</v>
      </c>
      <c r="H240" t="s">
        <v>66</v>
      </c>
      <c r="I240" t="s">
        <v>23</v>
      </c>
      <c r="J240" t="s">
        <v>30</v>
      </c>
      <c r="K240">
        <v>1044.6300000000001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CB23-160B-4E10-9514-0A8313BEC70C}">
  <dimension ref="A3:H18"/>
  <sheetViews>
    <sheetView workbookViewId="0">
      <selection activeCell="K8" sqref="K8"/>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s>
  <sheetData>
    <row r="3" spans="1:8" x14ac:dyDescent="0.3">
      <c r="A3" s="1" t="s">
        <v>459</v>
      </c>
      <c r="B3" t="s">
        <v>461</v>
      </c>
      <c r="D3" s="1" t="s">
        <v>459</v>
      </c>
      <c r="E3" t="s">
        <v>461</v>
      </c>
      <c r="G3" s="1" t="s">
        <v>459</v>
      </c>
      <c r="H3" t="s">
        <v>461</v>
      </c>
    </row>
    <row r="4" spans="1:8" x14ac:dyDescent="0.3">
      <c r="A4" s="2">
        <v>2017</v>
      </c>
      <c r="B4" s="7">
        <v>7331.3679999999995</v>
      </c>
      <c r="D4" s="2" t="s">
        <v>56</v>
      </c>
      <c r="E4" s="7">
        <v>928.98599999999999</v>
      </c>
      <c r="G4" s="2" t="s">
        <v>89</v>
      </c>
      <c r="H4" s="7">
        <v>347.77600000000001</v>
      </c>
    </row>
    <row r="5" spans="1:8" x14ac:dyDescent="0.3">
      <c r="A5" s="2" t="s">
        <v>460</v>
      </c>
      <c r="B5" s="7">
        <v>7331.3679999999995</v>
      </c>
      <c r="D5" s="2" t="s">
        <v>81</v>
      </c>
      <c r="E5" s="7">
        <v>4348.3119999999999</v>
      </c>
      <c r="G5" s="2" t="s">
        <v>39</v>
      </c>
      <c r="H5" s="7">
        <v>52.448</v>
      </c>
    </row>
    <row r="6" spans="1:8" x14ac:dyDescent="0.3">
      <c r="D6" s="2" t="s">
        <v>15</v>
      </c>
      <c r="E6" s="7">
        <v>114.264</v>
      </c>
      <c r="G6" s="2" t="s">
        <v>36</v>
      </c>
      <c r="H6" s="7">
        <v>141.22400000000002</v>
      </c>
    </row>
    <row r="7" spans="1:8" x14ac:dyDescent="0.3">
      <c r="D7" s="2" t="s">
        <v>23</v>
      </c>
      <c r="E7" s="7">
        <v>1939.806</v>
      </c>
      <c r="G7" s="2" t="s">
        <v>38</v>
      </c>
      <c r="H7" s="7">
        <v>164.04</v>
      </c>
    </row>
    <row r="8" spans="1:8" x14ac:dyDescent="0.3">
      <c r="D8" s="2" t="s">
        <v>460</v>
      </c>
      <c r="E8" s="7">
        <v>7331.3680000000004</v>
      </c>
      <c r="G8" s="2" t="s">
        <v>16</v>
      </c>
      <c r="H8" s="7">
        <v>3083.43</v>
      </c>
    </row>
    <row r="9" spans="1:8" x14ac:dyDescent="0.3">
      <c r="G9" s="2" t="s">
        <v>17</v>
      </c>
      <c r="H9" s="7">
        <v>390.78200000000004</v>
      </c>
    </row>
    <row r="10" spans="1:8" x14ac:dyDescent="0.3">
      <c r="G10" s="2" t="s">
        <v>93</v>
      </c>
      <c r="H10" s="7">
        <v>149.30799999999999</v>
      </c>
    </row>
    <row r="11" spans="1:8" x14ac:dyDescent="0.3">
      <c r="G11" s="2" t="s">
        <v>142</v>
      </c>
      <c r="H11" s="7">
        <v>40.095999999999997</v>
      </c>
    </row>
    <row r="12" spans="1:8" x14ac:dyDescent="0.3">
      <c r="G12" s="2" t="s">
        <v>35</v>
      </c>
      <c r="H12" s="7">
        <v>124.2</v>
      </c>
    </row>
    <row r="13" spans="1:8" x14ac:dyDescent="0.3">
      <c r="G13" s="2" t="s">
        <v>24</v>
      </c>
      <c r="H13" s="7">
        <v>20.16</v>
      </c>
    </row>
    <row r="14" spans="1:8" x14ac:dyDescent="0.3">
      <c r="G14" s="2" t="s">
        <v>45</v>
      </c>
      <c r="H14" s="7">
        <v>346.55</v>
      </c>
    </row>
    <row r="15" spans="1:8" x14ac:dyDescent="0.3">
      <c r="G15" s="2" t="s">
        <v>37</v>
      </c>
      <c r="H15" s="7">
        <v>308.86399999999998</v>
      </c>
    </row>
    <row r="16" spans="1:8" x14ac:dyDescent="0.3">
      <c r="G16" s="2" t="s">
        <v>31</v>
      </c>
      <c r="H16" s="7">
        <v>500.15999999999997</v>
      </c>
    </row>
    <row r="17" spans="7:8" x14ac:dyDescent="0.3">
      <c r="G17" s="2" t="s">
        <v>30</v>
      </c>
      <c r="H17" s="7">
        <v>1662.3300000000002</v>
      </c>
    </row>
    <row r="18" spans="7:8" x14ac:dyDescent="0.3">
      <c r="G18" s="2" t="s">
        <v>460</v>
      </c>
      <c r="H18" s="7">
        <v>7331.3679999999986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53596-4E13-42CF-84BF-E395E985166E}">
  <dimension ref="A1:U212"/>
  <sheetViews>
    <sheetView tabSelected="1" workbookViewId="0">
      <selection activeCell="E2" sqref="E2:S3"/>
    </sheetView>
  </sheetViews>
  <sheetFormatPr defaultRowHeight="14.4" x14ac:dyDescent="0.3"/>
  <sheetData>
    <row r="1" spans="1:21" x14ac:dyDescent="0.3">
      <c r="A1" s="8"/>
      <c r="B1" s="8"/>
      <c r="C1" s="8"/>
      <c r="D1" s="8"/>
      <c r="E1" s="8"/>
      <c r="F1" s="8"/>
      <c r="G1" s="8"/>
      <c r="H1" s="8"/>
      <c r="I1" s="8"/>
      <c r="J1" s="8"/>
      <c r="K1" s="8"/>
      <c r="L1" s="8"/>
      <c r="M1" s="8"/>
      <c r="N1" s="8"/>
      <c r="O1" s="8"/>
      <c r="P1" s="8"/>
      <c r="Q1" s="8"/>
      <c r="R1" s="8"/>
      <c r="S1" s="8"/>
      <c r="T1" s="8"/>
      <c r="U1" s="8"/>
    </row>
    <row r="2" spans="1:21" x14ac:dyDescent="0.3">
      <c r="A2" s="8"/>
      <c r="B2" s="8"/>
      <c r="C2" s="8"/>
      <c r="D2" s="8"/>
      <c r="E2" s="9" t="s">
        <v>464</v>
      </c>
      <c r="F2" s="10"/>
      <c r="G2" s="10"/>
      <c r="H2" s="10"/>
      <c r="I2" s="10"/>
      <c r="J2" s="10"/>
      <c r="K2" s="10"/>
      <c r="L2" s="10"/>
      <c r="M2" s="10"/>
      <c r="N2" s="10"/>
      <c r="O2" s="10"/>
      <c r="P2" s="10"/>
      <c r="Q2" s="10"/>
      <c r="R2" s="10"/>
      <c r="S2" s="10"/>
      <c r="T2" s="8"/>
      <c r="U2" s="8"/>
    </row>
    <row r="3" spans="1:21" x14ac:dyDescent="0.3">
      <c r="A3" s="8"/>
      <c r="B3" s="8"/>
      <c r="C3" s="8"/>
      <c r="D3" s="8"/>
      <c r="E3" s="10"/>
      <c r="F3" s="10"/>
      <c r="G3" s="10"/>
      <c r="H3" s="10"/>
      <c r="I3" s="10"/>
      <c r="J3" s="10"/>
      <c r="K3" s="10"/>
      <c r="L3" s="10"/>
      <c r="M3" s="10"/>
      <c r="N3" s="10"/>
      <c r="O3" s="10"/>
      <c r="P3" s="10"/>
      <c r="Q3" s="10"/>
      <c r="R3" s="10"/>
      <c r="S3" s="10"/>
      <c r="T3" s="8"/>
      <c r="U3" s="8"/>
    </row>
    <row r="4" spans="1:21" x14ac:dyDescent="0.3">
      <c r="A4" s="8"/>
      <c r="B4" s="8"/>
      <c r="C4" s="8"/>
      <c r="D4" s="8"/>
      <c r="E4" s="8"/>
      <c r="F4" s="8"/>
      <c r="G4" s="8"/>
      <c r="H4" s="8"/>
      <c r="I4" s="8"/>
      <c r="J4" s="8"/>
      <c r="K4" s="8"/>
      <c r="L4" s="8"/>
      <c r="M4" s="8"/>
      <c r="N4" s="8"/>
      <c r="O4" s="8"/>
      <c r="P4" s="8"/>
      <c r="Q4" s="8"/>
      <c r="R4" s="8"/>
      <c r="S4" s="8"/>
      <c r="T4" s="8"/>
      <c r="U4" s="8"/>
    </row>
    <row r="5" spans="1:21" x14ac:dyDescent="0.3">
      <c r="A5" s="8"/>
      <c r="B5" s="8"/>
      <c r="C5" s="8"/>
      <c r="D5" s="8"/>
      <c r="E5" s="8"/>
      <c r="F5" s="8"/>
      <c r="G5" s="8"/>
      <c r="H5" s="8"/>
      <c r="I5" s="8"/>
      <c r="J5" s="8"/>
      <c r="K5" s="8"/>
      <c r="L5" s="8"/>
      <c r="M5" s="8"/>
      <c r="N5" s="8"/>
      <c r="O5" s="8"/>
      <c r="P5" s="8"/>
      <c r="Q5" s="8"/>
      <c r="R5" s="8"/>
      <c r="S5" s="8"/>
      <c r="T5" s="8"/>
      <c r="U5" s="8"/>
    </row>
    <row r="6" spans="1:21" x14ac:dyDescent="0.3">
      <c r="A6" s="8"/>
      <c r="B6" s="8"/>
      <c r="C6" s="8"/>
      <c r="D6" s="8"/>
      <c r="E6" s="8"/>
      <c r="F6" s="8"/>
      <c r="G6" s="8"/>
      <c r="H6" s="8"/>
      <c r="I6" s="8"/>
      <c r="J6" s="8"/>
      <c r="K6" s="8"/>
      <c r="L6" s="8"/>
      <c r="M6" s="8"/>
      <c r="N6" s="8"/>
      <c r="O6" s="8"/>
      <c r="P6" s="8"/>
      <c r="Q6" s="8"/>
      <c r="R6" s="8"/>
      <c r="S6" s="8"/>
      <c r="T6" s="8"/>
      <c r="U6" s="8"/>
    </row>
    <row r="7" spans="1:21" x14ac:dyDescent="0.3">
      <c r="A7" s="8"/>
      <c r="B7" s="8"/>
      <c r="C7" s="8"/>
      <c r="D7" s="8"/>
      <c r="E7" s="8"/>
      <c r="F7" s="8"/>
      <c r="G7" s="8"/>
      <c r="H7" s="8"/>
      <c r="I7" s="8"/>
      <c r="J7" s="8"/>
      <c r="K7" s="8"/>
      <c r="L7" s="8"/>
      <c r="M7" s="8"/>
      <c r="N7" s="8"/>
      <c r="O7" s="8"/>
      <c r="P7" s="8"/>
      <c r="Q7" s="8"/>
      <c r="R7" s="8"/>
      <c r="S7" s="8"/>
      <c r="T7" s="8"/>
      <c r="U7" s="8"/>
    </row>
    <row r="8" spans="1:21" x14ac:dyDescent="0.3">
      <c r="A8" s="8"/>
      <c r="B8" s="8"/>
      <c r="C8" s="8"/>
      <c r="D8" s="8"/>
      <c r="E8" s="8"/>
      <c r="F8" s="8"/>
      <c r="G8" s="8"/>
      <c r="H8" s="8"/>
      <c r="I8" s="8"/>
      <c r="J8" s="8"/>
      <c r="K8" s="8"/>
      <c r="L8" s="8"/>
      <c r="M8" s="8"/>
      <c r="N8" s="8"/>
      <c r="O8" s="8"/>
      <c r="P8" s="8"/>
      <c r="Q8" s="8"/>
      <c r="R8" s="8"/>
      <c r="S8" s="8"/>
      <c r="T8" s="8"/>
      <c r="U8" s="8"/>
    </row>
    <row r="9" spans="1:21" x14ac:dyDescent="0.3">
      <c r="A9" s="8"/>
      <c r="B9" s="8"/>
      <c r="C9" s="8"/>
      <c r="D9" s="8"/>
      <c r="E9" s="8"/>
      <c r="F9" s="8"/>
      <c r="G9" s="8"/>
      <c r="H9" s="8"/>
      <c r="I9" s="8"/>
      <c r="J9" s="8"/>
      <c r="K9" s="8"/>
      <c r="L9" s="8"/>
      <c r="M9" s="8"/>
      <c r="N9" s="8"/>
      <c r="O9" s="8"/>
      <c r="P9" s="8"/>
      <c r="Q9" s="8"/>
      <c r="R9" s="8"/>
      <c r="S9" s="8"/>
      <c r="T9" s="8"/>
      <c r="U9" s="8"/>
    </row>
    <row r="10" spans="1:21" x14ac:dyDescent="0.3">
      <c r="A10" s="8"/>
      <c r="B10" s="8"/>
      <c r="C10" s="8"/>
      <c r="D10" s="8"/>
      <c r="E10" s="8"/>
      <c r="F10" s="8"/>
      <c r="G10" s="8"/>
      <c r="H10" s="8"/>
      <c r="I10" s="8"/>
      <c r="J10" s="8"/>
      <c r="K10" s="8"/>
      <c r="L10" s="8"/>
      <c r="M10" s="8"/>
      <c r="N10" s="8"/>
      <c r="O10" s="8"/>
      <c r="P10" s="8"/>
      <c r="Q10" s="8"/>
      <c r="R10" s="8"/>
      <c r="S10" s="8"/>
      <c r="T10" s="8"/>
      <c r="U10" s="8"/>
    </row>
    <row r="11" spans="1:21" x14ac:dyDescent="0.3">
      <c r="A11" s="8"/>
      <c r="B11" s="8"/>
      <c r="C11" s="8"/>
      <c r="D11" s="8"/>
      <c r="E11" s="8"/>
      <c r="F11" s="8"/>
      <c r="G11" s="8"/>
      <c r="H11" s="8"/>
      <c r="I11" s="8"/>
      <c r="J11" s="8"/>
      <c r="K11" s="8"/>
      <c r="L11" s="8"/>
      <c r="M11" s="8"/>
      <c r="N11" s="8"/>
      <c r="O11" s="8"/>
      <c r="P11" s="8"/>
      <c r="Q11" s="8"/>
      <c r="R11" s="8"/>
      <c r="S11" s="8"/>
      <c r="T11" s="8"/>
      <c r="U11" s="8"/>
    </row>
    <row r="12" spans="1:21" x14ac:dyDescent="0.3">
      <c r="A12" s="8"/>
      <c r="B12" s="8"/>
      <c r="C12" s="8"/>
      <c r="D12" s="8"/>
      <c r="E12" s="8"/>
      <c r="F12" s="8"/>
      <c r="G12" s="8"/>
      <c r="H12" s="8"/>
      <c r="I12" s="8"/>
      <c r="J12" s="8"/>
      <c r="K12" s="8"/>
      <c r="L12" s="8"/>
      <c r="M12" s="8"/>
      <c r="N12" s="8"/>
      <c r="O12" s="8"/>
      <c r="P12" s="8"/>
      <c r="Q12" s="8"/>
      <c r="R12" s="8"/>
      <c r="S12" s="8"/>
      <c r="T12" s="8"/>
      <c r="U12" s="8"/>
    </row>
    <row r="13" spans="1:21" x14ac:dyDescent="0.3">
      <c r="A13" s="8"/>
      <c r="B13" s="8"/>
      <c r="C13" s="8"/>
      <c r="D13" s="8"/>
      <c r="E13" s="8"/>
      <c r="F13" s="8"/>
      <c r="G13" s="8"/>
      <c r="H13" s="8"/>
      <c r="I13" s="8"/>
      <c r="J13" s="8"/>
      <c r="K13" s="8"/>
      <c r="L13" s="8"/>
      <c r="M13" s="8"/>
      <c r="N13" s="8"/>
      <c r="O13" s="8"/>
      <c r="P13" s="8"/>
      <c r="Q13" s="8"/>
      <c r="R13" s="8"/>
      <c r="S13" s="8"/>
      <c r="T13" s="8"/>
      <c r="U13" s="8"/>
    </row>
    <row r="14" spans="1:21" x14ac:dyDescent="0.3">
      <c r="A14" s="8"/>
      <c r="B14" s="8"/>
      <c r="C14" s="8"/>
      <c r="D14" s="8"/>
      <c r="E14" s="8"/>
      <c r="F14" s="8"/>
      <c r="G14" s="8"/>
      <c r="H14" s="8"/>
      <c r="I14" s="8"/>
      <c r="J14" s="8"/>
      <c r="K14" s="8"/>
      <c r="L14" s="8"/>
      <c r="M14" s="8"/>
      <c r="N14" s="8"/>
      <c r="O14" s="8"/>
      <c r="P14" s="8"/>
      <c r="Q14" s="8"/>
      <c r="R14" s="8"/>
      <c r="S14" s="8"/>
      <c r="T14" s="8"/>
      <c r="U14" s="8"/>
    </row>
    <row r="15" spans="1:21" x14ac:dyDescent="0.3">
      <c r="A15" s="8"/>
      <c r="B15" s="8"/>
      <c r="C15" s="8"/>
      <c r="D15" s="8"/>
      <c r="E15" s="8"/>
      <c r="F15" s="8"/>
      <c r="G15" s="8"/>
      <c r="H15" s="8"/>
      <c r="I15" s="8"/>
      <c r="J15" s="8"/>
      <c r="K15" s="8"/>
      <c r="L15" s="8"/>
      <c r="M15" s="8"/>
      <c r="N15" s="8"/>
      <c r="O15" s="8"/>
      <c r="P15" s="8"/>
      <c r="Q15" s="8"/>
      <c r="R15" s="8"/>
      <c r="S15" s="8"/>
      <c r="T15" s="8"/>
      <c r="U15" s="8"/>
    </row>
    <row r="16" spans="1:21" x14ac:dyDescent="0.3">
      <c r="A16" s="8"/>
      <c r="B16" s="8"/>
      <c r="C16" s="8"/>
      <c r="D16" s="8"/>
      <c r="E16" s="8"/>
      <c r="F16" s="8"/>
      <c r="G16" s="8"/>
      <c r="H16" s="8"/>
      <c r="I16" s="8"/>
      <c r="J16" s="8"/>
      <c r="K16" s="8"/>
      <c r="L16" s="8"/>
      <c r="M16" s="8"/>
      <c r="N16" s="8"/>
      <c r="O16" s="8"/>
      <c r="P16" s="8"/>
      <c r="Q16" s="8"/>
      <c r="R16" s="8"/>
      <c r="S16" s="8"/>
      <c r="T16" s="8"/>
      <c r="U16" s="8"/>
    </row>
    <row r="17" spans="1:21" x14ac:dyDescent="0.3">
      <c r="A17" s="8"/>
      <c r="B17" s="8"/>
      <c r="C17" s="8"/>
      <c r="D17" s="8"/>
      <c r="E17" s="8"/>
      <c r="F17" s="8"/>
      <c r="G17" s="8"/>
      <c r="H17" s="8"/>
      <c r="I17" s="8"/>
      <c r="J17" s="8"/>
      <c r="K17" s="8"/>
      <c r="L17" s="8"/>
      <c r="M17" s="8"/>
      <c r="N17" s="8"/>
      <c r="O17" s="8"/>
      <c r="P17" s="8"/>
      <c r="Q17" s="8"/>
      <c r="R17" s="8"/>
      <c r="S17" s="8"/>
      <c r="T17" s="8"/>
      <c r="U17" s="8"/>
    </row>
    <row r="18" spans="1:21" x14ac:dyDescent="0.3">
      <c r="A18" s="8"/>
      <c r="B18" s="8"/>
      <c r="C18" s="8"/>
      <c r="D18" s="8"/>
      <c r="E18" s="8"/>
      <c r="F18" s="8"/>
      <c r="G18" s="8"/>
      <c r="H18" s="8"/>
      <c r="I18" s="8"/>
      <c r="J18" s="8"/>
      <c r="K18" s="8"/>
      <c r="L18" s="8"/>
      <c r="M18" s="8"/>
      <c r="N18" s="8"/>
      <c r="O18" s="8"/>
      <c r="P18" s="8"/>
      <c r="Q18" s="8"/>
      <c r="R18" s="8"/>
      <c r="S18" s="8"/>
      <c r="T18" s="8"/>
      <c r="U18" s="8"/>
    </row>
    <row r="19" spans="1:21" x14ac:dyDescent="0.3">
      <c r="A19" s="8"/>
      <c r="B19" s="8"/>
      <c r="C19" s="8"/>
      <c r="D19" s="8"/>
      <c r="E19" s="8"/>
      <c r="F19" s="8"/>
      <c r="G19" s="8"/>
      <c r="H19" s="8"/>
      <c r="I19" s="8"/>
      <c r="J19" s="8"/>
      <c r="K19" s="8"/>
      <c r="L19" s="8"/>
      <c r="M19" s="8"/>
      <c r="N19" s="8"/>
      <c r="O19" s="8"/>
      <c r="P19" s="8"/>
      <c r="Q19" s="8"/>
      <c r="R19" s="8"/>
      <c r="S19" s="8"/>
      <c r="T19" s="8"/>
      <c r="U19" s="8"/>
    </row>
    <row r="20" spans="1:21" x14ac:dyDescent="0.3">
      <c r="A20" s="8"/>
      <c r="B20" s="8"/>
      <c r="C20" s="8"/>
      <c r="D20" s="8"/>
      <c r="E20" s="8"/>
      <c r="F20" s="8"/>
      <c r="G20" s="8"/>
      <c r="H20" s="8"/>
      <c r="I20" s="8"/>
      <c r="J20" s="8"/>
      <c r="K20" s="8"/>
      <c r="L20" s="8"/>
      <c r="M20" s="8"/>
      <c r="N20" s="8"/>
      <c r="O20" s="8"/>
      <c r="P20" s="8"/>
      <c r="Q20" s="8"/>
      <c r="R20" s="8"/>
      <c r="S20" s="8"/>
      <c r="T20" s="8"/>
      <c r="U20" s="8"/>
    </row>
    <row r="21" spans="1:21" x14ac:dyDescent="0.3">
      <c r="A21" s="8"/>
      <c r="B21" s="8"/>
      <c r="C21" s="8"/>
      <c r="D21" s="8"/>
      <c r="E21" s="8"/>
      <c r="F21" s="8"/>
      <c r="G21" s="8"/>
      <c r="H21" s="8"/>
      <c r="I21" s="8"/>
      <c r="J21" s="8"/>
      <c r="K21" s="8"/>
      <c r="L21" s="8"/>
      <c r="M21" s="8"/>
      <c r="N21" s="8"/>
      <c r="O21" s="8"/>
      <c r="P21" s="8"/>
      <c r="Q21" s="8"/>
      <c r="R21" s="8"/>
      <c r="S21" s="8"/>
      <c r="T21" s="8"/>
      <c r="U21" s="8"/>
    </row>
    <row r="22" spans="1:21" x14ac:dyDescent="0.3">
      <c r="A22" s="8"/>
      <c r="B22" s="8"/>
      <c r="C22" s="8"/>
      <c r="D22" s="8"/>
      <c r="E22" s="8"/>
      <c r="F22" s="8"/>
      <c r="G22" s="8"/>
      <c r="H22" s="8"/>
      <c r="I22" s="8"/>
      <c r="J22" s="8"/>
      <c r="K22" s="8"/>
      <c r="L22" s="8"/>
      <c r="M22" s="8"/>
      <c r="N22" s="8"/>
      <c r="O22" s="8"/>
      <c r="P22" s="8"/>
      <c r="Q22" s="8"/>
      <c r="R22" s="8"/>
      <c r="S22" s="8"/>
      <c r="T22" s="8"/>
      <c r="U22" s="8"/>
    </row>
    <row r="23" spans="1:21" x14ac:dyDescent="0.3">
      <c r="A23" s="8"/>
      <c r="B23" s="8"/>
      <c r="C23" s="8"/>
      <c r="D23" s="8"/>
      <c r="E23" s="8"/>
      <c r="F23" s="8"/>
      <c r="G23" s="8"/>
      <c r="H23" s="8"/>
      <c r="I23" s="8"/>
      <c r="J23" s="8"/>
      <c r="K23" s="8"/>
      <c r="L23" s="8"/>
      <c r="M23" s="8"/>
      <c r="N23" s="8"/>
      <c r="O23" s="8"/>
      <c r="P23" s="8"/>
      <c r="Q23" s="8"/>
      <c r="R23" s="8"/>
      <c r="S23" s="8"/>
      <c r="T23" s="8"/>
      <c r="U23" s="8"/>
    </row>
    <row r="24" spans="1:21" x14ac:dyDescent="0.3">
      <c r="A24" s="8"/>
      <c r="B24" s="8"/>
      <c r="C24" s="8"/>
      <c r="D24" s="8"/>
      <c r="E24" s="8"/>
      <c r="F24" s="8"/>
      <c r="G24" s="8"/>
      <c r="H24" s="8"/>
      <c r="I24" s="8"/>
      <c r="J24" s="8"/>
      <c r="K24" s="8"/>
      <c r="L24" s="8"/>
      <c r="M24" s="8"/>
      <c r="N24" s="8"/>
      <c r="O24" s="8"/>
      <c r="P24" s="8"/>
      <c r="Q24" s="8"/>
      <c r="R24" s="8"/>
      <c r="S24" s="8"/>
      <c r="T24" s="8"/>
      <c r="U24" s="8"/>
    </row>
    <row r="25" spans="1:21" x14ac:dyDescent="0.3">
      <c r="A25" s="8"/>
      <c r="B25" s="8"/>
      <c r="C25" s="8"/>
      <c r="D25" s="8"/>
      <c r="E25" s="8"/>
      <c r="F25" s="8"/>
      <c r="G25" s="8"/>
      <c r="H25" s="8"/>
      <c r="I25" s="8"/>
      <c r="J25" s="8"/>
      <c r="K25" s="8"/>
      <c r="L25" s="8"/>
      <c r="M25" s="8"/>
      <c r="N25" s="8"/>
      <c r="O25" s="8"/>
      <c r="P25" s="8"/>
      <c r="Q25" s="8"/>
      <c r="R25" s="8"/>
      <c r="S25" s="8"/>
      <c r="T25" s="8"/>
      <c r="U25" s="8"/>
    </row>
    <row r="26" spans="1:21" x14ac:dyDescent="0.3">
      <c r="A26" s="8"/>
      <c r="B26" s="8"/>
      <c r="C26" s="8"/>
      <c r="D26" s="8"/>
      <c r="E26" s="8"/>
      <c r="F26" s="8"/>
      <c r="G26" s="8"/>
      <c r="H26" s="8"/>
      <c r="I26" s="8"/>
      <c r="J26" s="8"/>
      <c r="K26" s="8"/>
      <c r="L26" s="8"/>
      <c r="M26" s="8"/>
      <c r="N26" s="8"/>
      <c r="O26" s="8"/>
      <c r="P26" s="8"/>
      <c r="Q26" s="8"/>
      <c r="R26" s="8"/>
      <c r="S26" s="8"/>
      <c r="T26" s="8"/>
      <c r="U26" s="8"/>
    </row>
    <row r="27" spans="1:21" x14ac:dyDescent="0.3">
      <c r="A27" s="8"/>
      <c r="B27" s="8"/>
      <c r="C27" s="8"/>
      <c r="D27" s="8"/>
      <c r="E27" s="8"/>
      <c r="F27" s="8"/>
      <c r="G27" s="8"/>
      <c r="H27" s="8"/>
      <c r="I27" s="8"/>
      <c r="J27" s="8"/>
      <c r="K27" s="8"/>
      <c r="L27" s="8"/>
      <c r="M27" s="8"/>
      <c r="N27" s="8"/>
      <c r="O27" s="8"/>
      <c r="P27" s="8"/>
      <c r="Q27" s="8"/>
      <c r="R27" s="8"/>
      <c r="S27" s="8"/>
      <c r="T27" s="8"/>
      <c r="U27" s="8"/>
    </row>
    <row r="28" spans="1:21" x14ac:dyDescent="0.3">
      <c r="A28" s="8"/>
      <c r="B28" s="8"/>
      <c r="C28" s="8"/>
      <c r="D28" s="8"/>
      <c r="E28" s="8"/>
      <c r="F28" s="8"/>
      <c r="G28" s="8"/>
      <c r="H28" s="8"/>
      <c r="I28" s="8"/>
      <c r="J28" s="8"/>
      <c r="K28" s="8"/>
      <c r="L28" s="8"/>
      <c r="M28" s="8"/>
      <c r="N28" s="8"/>
      <c r="O28" s="8"/>
      <c r="P28" s="8"/>
      <c r="Q28" s="8"/>
      <c r="R28" s="8"/>
      <c r="S28" s="8"/>
      <c r="T28" s="8"/>
      <c r="U28" s="8"/>
    </row>
    <row r="29" spans="1:21" x14ac:dyDescent="0.3">
      <c r="A29" s="8"/>
      <c r="B29" s="8"/>
      <c r="C29" s="8"/>
      <c r="D29" s="8"/>
      <c r="E29" s="8"/>
      <c r="F29" s="8"/>
      <c r="G29" s="8"/>
      <c r="H29" s="8"/>
      <c r="I29" s="8"/>
      <c r="J29" s="8"/>
      <c r="K29" s="8"/>
      <c r="L29" s="8"/>
      <c r="M29" s="8"/>
      <c r="N29" s="8"/>
      <c r="O29" s="8"/>
      <c r="P29" s="8"/>
      <c r="Q29" s="8"/>
      <c r="R29" s="8"/>
      <c r="S29" s="8"/>
      <c r="T29" s="8"/>
      <c r="U29" s="8"/>
    </row>
    <row r="30" spans="1:21" x14ac:dyDescent="0.3">
      <c r="A30" s="8"/>
      <c r="B30" s="8"/>
      <c r="C30" s="8"/>
      <c r="D30" s="8"/>
      <c r="E30" s="8"/>
      <c r="F30" s="8"/>
      <c r="G30" s="8"/>
      <c r="H30" s="8"/>
      <c r="I30" s="8"/>
      <c r="J30" s="8"/>
      <c r="K30" s="8"/>
      <c r="L30" s="8"/>
      <c r="M30" s="8"/>
      <c r="N30" s="8"/>
      <c r="O30" s="8"/>
      <c r="P30" s="8"/>
      <c r="Q30" s="8"/>
      <c r="R30" s="8"/>
      <c r="S30" s="8"/>
      <c r="T30" s="8"/>
      <c r="U30" s="8"/>
    </row>
    <row r="31" spans="1:21" x14ac:dyDescent="0.3">
      <c r="A31" s="8"/>
      <c r="B31" s="8"/>
      <c r="C31" s="8"/>
      <c r="D31" s="8"/>
      <c r="E31" s="8"/>
      <c r="F31" s="8"/>
      <c r="G31" s="8"/>
      <c r="H31" s="8"/>
      <c r="I31" s="8"/>
      <c r="J31" s="8"/>
      <c r="K31" s="8"/>
      <c r="L31" s="8"/>
      <c r="M31" s="8"/>
      <c r="N31" s="8"/>
      <c r="O31" s="8"/>
      <c r="P31" s="8"/>
      <c r="Q31" s="8"/>
      <c r="R31" s="8"/>
      <c r="S31" s="8"/>
      <c r="T31" s="8"/>
      <c r="U31" s="8"/>
    </row>
    <row r="32" spans="1:21" x14ac:dyDescent="0.3">
      <c r="A32" s="8"/>
      <c r="B32" s="8"/>
      <c r="C32" s="8"/>
      <c r="D32" s="8"/>
      <c r="E32" s="8"/>
      <c r="F32" s="8"/>
      <c r="G32" s="8"/>
      <c r="H32" s="8"/>
      <c r="I32" s="8"/>
      <c r="J32" s="8"/>
      <c r="K32" s="8"/>
      <c r="L32" s="8"/>
      <c r="M32" s="8"/>
      <c r="N32" s="8"/>
      <c r="O32" s="8"/>
      <c r="P32" s="8"/>
      <c r="Q32" s="8"/>
      <c r="R32" s="8"/>
      <c r="S32" s="8"/>
      <c r="T32" s="8"/>
      <c r="U32" s="8"/>
    </row>
    <row r="33" spans="1:21" x14ac:dyDescent="0.3">
      <c r="A33" s="8"/>
      <c r="B33" s="8"/>
      <c r="C33" s="8"/>
      <c r="D33" s="8"/>
      <c r="E33" s="8"/>
      <c r="F33" s="8"/>
      <c r="G33" s="8"/>
      <c r="H33" s="8"/>
      <c r="I33" s="8"/>
      <c r="J33" s="8"/>
      <c r="K33" s="8"/>
      <c r="L33" s="8"/>
      <c r="M33" s="8"/>
      <c r="N33" s="8"/>
      <c r="O33" s="8"/>
      <c r="P33" s="8"/>
      <c r="Q33" s="8"/>
      <c r="R33" s="8"/>
      <c r="S33" s="8"/>
      <c r="T33" s="8"/>
      <c r="U33" s="8"/>
    </row>
    <row r="34" spans="1:21" x14ac:dyDescent="0.3">
      <c r="A34" s="8"/>
      <c r="B34" s="8"/>
      <c r="C34" s="8"/>
      <c r="D34" s="8"/>
      <c r="E34" s="8"/>
      <c r="F34" s="8"/>
      <c r="G34" s="8"/>
      <c r="H34" s="8"/>
      <c r="I34" s="8"/>
      <c r="J34" s="8"/>
      <c r="K34" s="8"/>
      <c r="L34" s="8"/>
      <c r="M34" s="8"/>
      <c r="N34" s="8"/>
      <c r="O34" s="8"/>
      <c r="P34" s="8"/>
      <c r="Q34" s="8"/>
      <c r="R34" s="8"/>
      <c r="S34" s="8"/>
      <c r="T34" s="8"/>
      <c r="U34" s="8"/>
    </row>
    <row r="35" spans="1:21" x14ac:dyDescent="0.3">
      <c r="A35" s="8"/>
      <c r="B35" s="8"/>
      <c r="C35" s="8"/>
      <c r="D35" s="8"/>
      <c r="E35" s="8"/>
      <c r="F35" s="8"/>
      <c r="G35" s="8"/>
      <c r="H35" s="8"/>
      <c r="I35" s="8"/>
      <c r="J35" s="8"/>
      <c r="K35" s="8"/>
      <c r="L35" s="8"/>
      <c r="M35" s="8"/>
      <c r="N35" s="8"/>
      <c r="O35" s="8"/>
      <c r="P35" s="8"/>
      <c r="Q35" s="8"/>
      <c r="R35" s="8"/>
      <c r="S35" s="8"/>
      <c r="T35" s="8"/>
      <c r="U35" s="8"/>
    </row>
    <row r="36" spans="1:21" x14ac:dyDescent="0.3">
      <c r="A36" s="8"/>
      <c r="B36" s="8"/>
      <c r="C36" s="8"/>
      <c r="D36" s="8"/>
      <c r="E36" s="8"/>
      <c r="F36" s="8"/>
      <c r="G36" s="8"/>
      <c r="H36" s="8"/>
      <c r="I36" s="8"/>
      <c r="J36" s="8"/>
      <c r="K36" s="8"/>
      <c r="L36" s="8"/>
      <c r="M36" s="8"/>
      <c r="N36" s="8"/>
      <c r="O36" s="8"/>
      <c r="P36" s="8"/>
      <c r="Q36" s="8"/>
      <c r="R36" s="8"/>
      <c r="S36" s="8"/>
      <c r="T36" s="8"/>
      <c r="U36" s="8"/>
    </row>
    <row r="37" spans="1:21" x14ac:dyDescent="0.3">
      <c r="A37" s="8"/>
      <c r="B37" s="8"/>
      <c r="C37" s="8"/>
      <c r="D37" s="8"/>
      <c r="E37" s="8"/>
      <c r="F37" s="8"/>
      <c r="G37" s="8"/>
      <c r="H37" s="8"/>
      <c r="I37" s="8"/>
      <c r="J37" s="8"/>
      <c r="K37" s="8"/>
      <c r="L37" s="8"/>
      <c r="M37" s="8"/>
      <c r="N37" s="8"/>
      <c r="O37" s="8"/>
      <c r="P37" s="8"/>
      <c r="Q37" s="8"/>
      <c r="R37" s="8"/>
      <c r="S37" s="8"/>
      <c r="T37" s="8"/>
      <c r="U37" s="8"/>
    </row>
    <row r="38" spans="1:21" x14ac:dyDescent="0.3">
      <c r="A38" s="8"/>
      <c r="B38" s="8"/>
      <c r="C38" s="8"/>
      <c r="D38" s="8"/>
      <c r="E38" s="8"/>
      <c r="F38" s="8"/>
      <c r="G38" s="8"/>
      <c r="H38" s="8"/>
      <c r="I38" s="8"/>
      <c r="J38" s="8"/>
      <c r="K38" s="8"/>
      <c r="L38" s="8"/>
      <c r="M38" s="8"/>
      <c r="N38" s="8"/>
      <c r="O38" s="8"/>
      <c r="P38" s="8"/>
      <c r="Q38" s="8"/>
      <c r="R38" s="8"/>
      <c r="S38" s="8"/>
      <c r="T38" s="8"/>
      <c r="U38" s="8"/>
    </row>
    <row r="39" spans="1:21" x14ac:dyDescent="0.3">
      <c r="A39" s="8"/>
      <c r="B39" s="8"/>
      <c r="C39" s="8"/>
      <c r="D39" s="8"/>
      <c r="E39" s="8"/>
      <c r="F39" s="8"/>
      <c r="G39" s="8"/>
      <c r="H39" s="8"/>
      <c r="I39" s="8"/>
      <c r="J39" s="8"/>
      <c r="K39" s="8"/>
      <c r="L39" s="8"/>
      <c r="M39" s="8"/>
      <c r="N39" s="8"/>
      <c r="O39" s="8"/>
      <c r="P39" s="8"/>
      <c r="Q39" s="8"/>
      <c r="R39" s="8"/>
      <c r="S39" s="8"/>
      <c r="T39" s="8"/>
      <c r="U39" s="8"/>
    </row>
    <row r="40" spans="1:21" x14ac:dyDescent="0.3">
      <c r="A40" s="8"/>
      <c r="B40" s="8"/>
      <c r="C40" s="8"/>
      <c r="D40" s="8"/>
      <c r="E40" s="8"/>
      <c r="F40" s="8"/>
      <c r="G40" s="8"/>
      <c r="H40" s="8"/>
      <c r="I40" s="8"/>
      <c r="J40" s="8"/>
      <c r="K40" s="8"/>
      <c r="L40" s="8"/>
      <c r="M40" s="8"/>
      <c r="N40" s="8"/>
      <c r="O40" s="8"/>
      <c r="P40" s="8"/>
      <c r="Q40" s="8"/>
      <c r="R40" s="8"/>
      <c r="S40" s="8"/>
      <c r="T40" s="8"/>
      <c r="U40" s="8"/>
    </row>
    <row r="41" spans="1:21" x14ac:dyDescent="0.3">
      <c r="A41" s="8"/>
      <c r="B41" s="8"/>
      <c r="C41" s="8"/>
      <c r="D41" s="8"/>
      <c r="E41" s="8"/>
      <c r="F41" s="8"/>
      <c r="G41" s="8"/>
      <c r="H41" s="8"/>
      <c r="I41" s="8"/>
      <c r="J41" s="8"/>
      <c r="K41" s="8"/>
      <c r="L41" s="8"/>
      <c r="M41" s="8"/>
      <c r="N41" s="8"/>
      <c r="O41" s="8"/>
      <c r="P41" s="8"/>
      <c r="Q41" s="8"/>
      <c r="R41" s="8"/>
      <c r="S41" s="8"/>
      <c r="T41" s="8"/>
      <c r="U41" s="8"/>
    </row>
    <row r="42" spans="1:21" x14ac:dyDescent="0.3">
      <c r="A42" s="8"/>
      <c r="B42" s="8"/>
      <c r="C42" s="8"/>
      <c r="D42" s="8"/>
      <c r="E42" s="8"/>
      <c r="F42" s="8"/>
      <c r="G42" s="8"/>
      <c r="H42" s="8"/>
      <c r="I42" s="8"/>
      <c r="J42" s="8"/>
      <c r="K42" s="8"/>
      <c r="L42" s="8"/>
      <c r="M42" s="8"/>
      <c r="N42" s="8"/>
      <c r="O42" s="8"/>
      <c r="P42" s="8"/>
      <c r="Q42" s="8"/>
      <c r="R42" s="8"/>
      <c r="S42" s="8"/>
      <c r="T42" s="8"/>
      <c r="U42" s="8"/>
    </row>
    <row r="43" spans="1:21" x14ac:dyDescent="0.3">
      <c r="A43" s="8"/>
      <c r="B43" s="8"/>
      <c r="C43" s="8"/>
      <c r="D43" s="8"/>
      <c r="E43" s="8"/>
      <c r="F43" s="8"/>
      <c r="G43" s="8"/>
      <c r="H43" s="8"/>
      <c r="I43" s="8"/>
      <c r="J43" s="8"/>
      <c r="K43" s="8"/>
      <c r="L43" s="8"/>
      <c r="M43" s="8"/>
      <c r="N43" s="8"/>
      <c r="O43" s="8"/>
      <c r="P43" s="8"/>
      <c r="Q43" s="8"/>
      <c r="R43" s="8"/>
      <c r="S43" s="8"/>
      <c r="T43" s="8"/>
      <c r="U43" s="8"/>
    </row>
    <row r="44" spans="1:21" x14ac:dyDescent="0.3">
      <c r="A44" s="8"/>
      <c r="B44" s="8"/>
      <c r="C44" s="8"/>
      <c r="D44" s="8"/>
      <c r="E44" s="8"/>
      <c r="F44" s="8"/>
      <c r="G44" s="8"/>
      <c r="H44" s="8"/>
      <c r="I44" s="8"/>
      <c r="J44" s="8"/>
      <c r="K44" s="8"/>
      <c r="L44" s="8"/>
      <c r="M44" s="8"/>
      <c r="N44" s="8"/>
      <c r="O44" s="8"/>
      <c r="P44" s="8"/>
      <c r="Q44" s="8"/>
      <c r="R44" s="8"/>
      <c r="S44" s="8"/>
      <c r="T44" s="8"/>
      <c r="U44" s="8"/>
    </row>
    <row r="45" spans="1:21" x14ac:dyDescent="0.3">
      <c r="A45" s="8"/>
      <c r="B45" s="8"/>
      <c r="C45" s="8"/>
      <c r="D45" s="8"/>
      <c r="E45" s="8"/>
      <c r="F45" s="8"/>
      <c r="G45" s="8"/>
      <c r="H45" s="8"/>
      <c r="I45" s="8"/>
      <c r="J45" s="8"/>
      <c r="K45" s="8"/>
      <c r="L45" s="8"/>
      <c r="M45" s="8"/>
      <c r="N45" s="8"/>
      <c r="O45" s="8"/>
      <c r="P45" s="8"/>
      <c r="Q45" s="8"/>
      <c r="R45" s="8"/>
      <c r="S45" s="8"/>
      <c r="T45" s="8"/>
      <c r="U45" s="8"/>
    </row>
    <row r="46" spans="1:21" x14ac:dyDescent="0.3">
      <c r="A46" s="8"/>
      <c r="B46" s="8"/>
      <c r="C46" s="8"/>
      <c r="D46" s="8"/>
      <c r="E46" s="8"/>
      <c r="F46" s="8"/>
      <c r="G46" s="8"/>
      <c r="H46" s="8"/>
      <c r="I46" s="8"/>
      <c r="J46" s="8"/>
      <c r="K46" s="8"/>
      <c r="L46" s="8"/>
      <c r="M46" s="8"/>
      <c r="N46" s="8"/>
      <c r="O46" s="8"/>
      <c r="P46" s="8"/>
      <c r="Q46" s="8"/>
      <c r="R46" s="8"/>
      <c r="S46" s="8"/>
      <c r="T46" s="8"/>
      <c r="U46" s="8"/>
    </row>
    <row r="47" spans="1:21" x14ac:dyDescent="0.3">
      <c r="A47" s="8"/>
      <c r="B47" s="8"/>
      <c r="C47" s="8"/>
      <c r="D47" s="8"/>
      <c r="E47" s="8"/>
      <c r="F47" s="8"/>
      <c r="G47" s="8"/>
      <c r="H47" s="8"/>
      <c r="I47" s="8"/>
      <c r="J47" s="8"/>
      <c r="K47" s="8"/>
      <c r="L47" s="8"/>
      <c r="M47" s="8"/>
      <c r="N47" s="8"/>
      <c r="O47" s="8"/>
      <c r="P47" s="8"/>
      <c r="Q47" s="8"/>
      <c r="R47" s="8"/>
      <c r="S47" s="8"/>
      <c r="T47" s="8"/>
      <c r="U47" s="8"/>
    </row>
    <row r="48" spans="1:21" x14ac:dyDescent="0.3">
      <c r="A48" s="8"/>
      <c r="B48" s="8"/>
      <c r="C48" s="8"/>
      <c r="D48" s="8"/>
      <c r="E48" s="8"/>
      <c r="F48" s="8"/>
      <c r="G48" s="8"/>
      <c r="H48" s="8"/>
      <c r="I48" s="8"/>
      <c r="J48" s="8"/>
      <c r="K48" s="8"/>
      <c r="L48" s="8"/>
      <c r="M48" s="8"/>
      <c r="N48" s="8"/>
      <c r="O48" s="8"/>
      <c r="P48" s="8"/>
      <c r="Q48" s="8"/>
      <c r="R48" s="8"/>
      <c r="S48" s="8"/>
      <c r="T48" s="8"/>
      <c r="U48" s="8"/>
    </row>
    <row r="49" spans="1:21" x14ac:dyDescent="0.3">
      <c r="A49" s="8"/>
      <c r="B49" s="8"/>
      <c r="C49" s="8"/>
      <c r="D49" s="8"/>
      <c r="E49" s="8"/>
      <c r="F49" s="8"/>
      <c r="G49" s="8"/>
      <c r="H49" s="8"/>
      <c r="I49" s="8"/>
      <c r="J49" s="8"/>
      <c r="K49" s="8"/>
      <c r="L49" s="8"/>
      <c r="M49" s="8"/>
      <c r="N49" s="8"/>
      <c r="O49" s="8"/>
      <c r="P49" s="8"/>
      <c r="Q49" s="8"/>
      <c r="R49" s="8"/>
      <c r="S49" s="8"/>
      <c r="T49" s="8"/>
      <c r="U49" s="8"/>
    </row>
    <row r="50" spans="1:21" x14ac:dyDescent="0.3">
      <c r="A50" s="8"/>
      <c r="B50" s="8"/>
      <c r="C50" s="8"/>
      <c r="D50" s="8"/>
      <c r="E50" s="8"/>
      <c r="F50" s="8"/>
      <c r="G50" s="8"/>
      <c r="H50" s="8"/>
      <c r="I50" s="8"/>
      <c r="J50" s="8"/>
      <c r="K50" s="8"/>
      <c r="L50" s="8"/>
      <c r="M50" s="8"/>
      <c r="N50" s="8"/>
      <c r="O50" s="8"/>
      <c r="P50" s="8"/>
      <c r="Q50" s="8"/>
      <c r="R50" s="8"/>
      <c r="S50" s="8"/>
      <c r="T50" s="8"/>
      <c r="U50" s="8"/>
    </row>
    <row r="51" spans="1:21" x14ac:dyDescent="0.3">
      <c r="A51" s="8"/>
      <c r="B51" s="8"/>
      <c r="C51" s="8"/>
      <c r="D51" s="8"/>
      <c r="E51" s="8"/>
      <c r="F51" s="8"/>
      <c r="G51" s="8"/>
      <c r="H51" s="8"/>
      <c r="I51" s="8"/>
      <c r="J51" s="8"/>
      <c r="K51" s="8"/>
      <c r="L51" s="8"/>
      <c r="M51" s="8"/>
      <c r="N51" s="8"/>
      <c r="O51" s="8"/>
      <c r="P51" s="8"/>
      <c r="Q51" s="8"/>
      <c r="R51" s="8"/>
      <c r="S51" s="8"/>
      <c r="T51" s="8"/>
      <c r="U51" s="8"/>
    </row>
    <row r="52" spans="1:21" x14ac:dyDescent="0.3">
      <c r="A52" s="8"/>
      <c r="B52" s="8"/>
      <c r="C52" s="8"/>
      <c r="D52" s="8"/>
      <c r="E52" s="8"/>
      <c r="F52" s="8"/>
      <c r="G52" s="8"/>
      <c r="H52" s="8"/>
      <c r="I52" s="8"/>
      <c r="J52" s="8"/>
      <c r="K52" s="8"/>
      <c r="L52" s="8"/>
      <c r="M52" s="8"/>
      <c r="N52" s="8"/>
      <c r="O52" s="8"/>
      <c r="P52" s="8"/>
      <c r="Q52" s="8"/>
      <c r="R52" s="8"/>
      <c r="S52" s="8"/>
      <c r="T52" s="8"/>
      <c r="U52" s="8"/>
    </row>
    <row r="53" spans="1:21" x14ac:dyDescent="0.3">
      <c r="A53" s="8"/>
      <c r="B53" s="8"/>
      <c r="C53" s="8"/>
      <c r="D53" s="8"/>
      <c r="E53" s="8"/>
      <c r="F53" s="8"/>
      <c r="G53" s="8"/>
      <c r="H53" s="8"/>
      <c r="I53" s="8"/>
      <c r="J53" s="8"/>
      <c r="K53" s="8"/>
      <c r="L53" s="8"/>
      <c r="M53" s="8"/>
      <c r="N53" s="8"/>
      <c r="O53" s="8"/>
      <c r="P53" s="8"/>
      <c r="Q53" s="8"/>
      <c r="R53" s="8"/>
      <c r="S53" s="8"/>
      <c r="T53" s="8"/>
      <c r="U53" s="8"/>
    </row>
    <row r="54" spans="1:21" x14ac:dyDescent="0.3">
      <c r="A54" s="8"/>
      <c r="B54" s="8"/>
      <c r="C54" s="8"/>
      <c r="D54" s="8"/>
      <c r="E54" s="8"/>
      <c r="F54" s="8"/>
      <c r="G54" s="8"/>
      <c r="H54" s="8"/>
      <c r="I54" s="8"/>
      <c r="J54" s="8"/>
      <c r="K54" s="8"/>
      <c r="L54" s="8"/>
      <c r="M54" s="8"/>
      <c r="N54" s="8"/>
      <c r="O54" s="8"/>
      <c r="P54" s="8"/>
      <c r="Q54" s="8"/>
      <c r="R54" s="8"/>
      <c r="S54" s="8"/>
      <c r="T54" s="8"/>
      <c r="U54" s="8"/>
    </row>
    <row r="55" spans="1:21" x14ac:dyDescent="0.3">
      <c r="A55" s="8"/>
      <c r="B55" s="8"/>
      <c r="C55" s="8"/>
      <c r="D55" s="8"/>
      <c r="E55" s="8"/>
      <c r="F55" s="8"/>
      <c r="G55" s="8"/>
      <c r="H55" s="8"/>
      <c r="I55" s="8"/>
      <c r="J55" s="8"/>
      <c r="K55" s="8"/>
      <c r="L55" s="8"/>
      <c r="M55" s="8"/>
      <c r="N55" s="8"/>
      <c r="O55" s="8"/>
      <c r="P55" s="8"/>
      <c r="Q55" s="8"/>
      <c r="R55" s="8"/>
      <c r="S55" s="8"/>
      <c r="T55" s="8"/>
      <c r="U55" s="8"/>
    </row>
    <row r="56" spans="1:21" x14ac:dyDescent="0.3">
      <c r="A56" s="8"/>
      <c r="B56" s="8"/>
      <c r="C56" s="8"/>
      <c r="D56" s="8"/>
      <c r="E56" s="8"/>
      <c r="F56" s="8"/>
      <c r="G56" s="8"/>
      <c r="H56" s="8"/>
      <c r="I56" s="8"/>
      <c r="J56" s="8"/>
      <c r="K56" s="8"/>
      <c r="L56" s="8"/>
      <c r="M56" s="8"/>
      <c r="N56" s="8"/>
      <c r="O56" s="8"/>
      <c r="P56" s="8"/>
      <c r="Q56" s="8"/>
      <c r="R56" s="8"/>
      <c r="S56" s="8"/>
      <c r="T56" s="8"/>
      <c r="U56" s="8"/>
    </row>
    <row r="57" spans="1:21" x14ac:dyDescent="0.3">
      <c r="A57" s="8"/>
      <c r="B57" s="8"/>
      <c r="C57" s="8"/>
      <c r="D57" s="8"/>
      <c r="E57" s="8"/>
      <c r="F57" s="8"/>
      <c r="G57" s="8"/>
      <c r="H57" s="8"/>
      <c r="I57" s="8"/>
      <c r="J57" s="8"/>
      <c r="K57" s="8"/>
      <c r="L57" s="8"/>
      <c r="M57" s="8"/>
      <c r="N57" s="8"/>
      <c r="O57" s="8"/>
      <c r="P57" s="8"/>
      <c r="Q57" s="8"/>
      <c r="R57" s="8"/>
      <c r="S57" s="8"/>
      <c r="T57" s="8"/>
      <c r="U57" s="8"/>
    </row>
    <row r="58" spans="1:21" x14ac:dyDescent="0.3">
      <c r="A58" s="8"/>
      <c r="B58" s="8"/>
      <c r="C58" s="8"/>
      <c r="D58" s="8"/>
      <c r="E58" s="8"/>
      <c r="F58" s="8"/>
      <c r="G58" s="8"/>
      <c r="H58" s="8"/>
      <c r="I58" s="8"/>
      <c r="J58" s="8"/>
      <c r="K58" s="8"/>
      <c r="L58" s="8"/>
      <c r="M58" s="8"/>
      <c r="N58" s="8"/>
      <c r="O58" s="8"/>
      <c r="P58" s="8"/>
      <c r="Q58" s="8"/>
      <c r="R58" s="8"/>
      <c r="S58" s="8"/>
      <c r="T58" s="8"/>
      <c r="U58" s="8"/>
    </row>
    <row r="59" spans="1:21" x14ac:dyDescent="0.3">
      <c r="A59" s="8"/>
      <c r="B59" s="8"/>
      <c r="C59" s="8"/>
      <c r="D59" s="8"/>
      <c r="E59" s="8"/>
      <c r="F59" s="8"/>
      <c r="G59" s="8"/>
      <c r="H59" s="8"/>
      <c r="I59" s="8"/>
      <c r="J59" s="8"/>
      <c r="K59" s="8"/>
      <c r="L59" s="8"/>
      <c r="M59" s="8"/>
      <c r="N59" s="8"/>
      <c r="O59" s="8"/>
      <c r="P59" s="8"/>
      <c r="Q59" s="8"/>
      <c r="R59" s="8"/>
      <c r="S59" s="8"/>
      <c r="T59" s="8"/>
      <c r="U59" s="8"/>
    </row>
    <row r="60" spans="1:21" x14ac:dyDescent="0.3">
      <c r="A60" s="8"/>
      <c r="B60" s="8"/>
      <c r="C60" s="8"/>
      <c r="D60" s="8"/>
      <c r="E60" s="8"/>
      <c r="F60" s="8"/>
      <c r="G60" s="8"/>
      <c r="H60" s="8"/>
      <c r="I60" s="8"/>
      <c r="J60" s="8"/>
      <c r="K60" s="8"/>
      <c r="L60" s="8"/>
      <c r="M60" s="8"/>
      <c r="N60" s="8"/>
      <c r="O60" s="8"/>
      <c r="P60" s="8"/>
      <c r="Q60" s="8"/>
      <c r="R60" s="8"/>
      <c r="S60" s="8"/>
      <c r="T60" s="8"/>
      <c r="U60" s="8"/>
    </row>
    <row r="61" spans="1:21" x14ac:dyDescent="0.3">
      <c r="A61" s="8"/>
      <c r="B61" s="8"/>
      <c r="C61" s="8"/>
      <c r="D61" s="8"/>
      <c r="E61" s="8"/>
      <c r="F61" s="8"/>
      <c r="G61" s="8"/>
      <c r="H61" s="8"/>
      <c r="I61" s="8"/>
      <c r="J61" s="8"/>
      <c r="K61" s="8"/>
      <c r="L61" s="8"/>
      <c r="M61" s="8"/>
      <c r="N61" s="8"/>
      <c r="O61" s="8"/>
      <c r="P61" s="8"/>
      <c r="Q61" s="8"/>
      <c r="R61" s="8"/>
      <c r="S61" s="8"/>
      <c r="T61" s="8"/>
      <c r="U61" s="8"/>
    </row>
    <row r="62" spans="1:21" x14ac:dyDescent="0.3">
      <c r="A62" s="8"/>
      <c r="B62" s="8"/>
      <c r="C62" s="8"/>
      <c r="D62" s="8"/>
      <c r="E62" s="8"/>
      <c r="F62" s="8"/>
      <c r="G62" s="8"/>
      <c r="H62" s="8"/>
      <c r="I62" s="8"/>
      <c r="J62" s="8"/>
      <c r="K62" s="8"/>
      <c r="L62" s="8"/>
      <c r="M62" s="8"/>
      <c r="N62" s="8"/>
      <c r="O62" s="8"/>
      <c r="P62" s="8"/>
      <c r="Q62" s="8"/>
      <c r="R62" s="8"/>
      <c r="S62" s="8"/>
      <c r="T62" s="8"/>
      <c r="U62" s="8"/>
    </row>
    <row r="63" spans="1:21" x14ac:dyDescent="0.3">
      <c r="A63" s="8"/>
      <c r="B63" s="8"/>
      <c r="C63" s="8"/>
      <c r="D63" s="8"/>
      <c r="E63" s="8"/>
      <c r="F63" s="8"/>
      <c r="G63" s="8"/>
      <c r="H63" s="8"/>
      <c r="I63" s="8"/>
      <c r="J63" s="8"/>
      <c r="K63" s="8"/>
      <c r="L63" s="8"/>
      <c r="M63" s="8"/>
      <c r="N63" s="8"/>
      <c r="O63" s="8"/>
      <c r="P63" s="8"/>
      <c r="Q63" s="8"/>
      <c r="R63" s="8"/>
      <c r="S63" s="8"/>
      <c r="T63" s="8"/>
      <c r="U63" s="8"/>
    </row>
    <row r="64" spans="1:21" x14ac:dyDescent="0.3">
      <c r="A64" s="8"/>
      <c r="B64" s="8"/>
      <c r="C64" s="8"/>
      <c r="D64" s="8"/>
      <c r="E64" s="8"/>
      <c r="F64" s="8"/>
      <c r="G64" s="8"/>
      <c r="H64" s="8"/>
      <c r="I64" s="8"/>
      <c r="J64" s="8"/>
      <c r="K64" s="8"/>
      <c r="L64" s="8"/>
      <c r="M64" s="8"/>
      <c r="N64" s="8"/>
      <c r="O64" s="8"/>
      <c r="P64" s="8"/>
      <c r="Q64" s="8"/>
      <c r="R64" s="8"/>
      <c r="S64" s="8"/>
      <c r="T64" s="8"/>
      <c r="U64" s="8"/>
    </row>
    <row r="65" spans="1:21" x14ac:dyDescent="0.3">
      <c r="A65" s="8"/>
      <c r="B65" s="8"/>
      <c r="C65" s="8"/>
      <c r="D65" s="8"/>
      <c r="E65" s="8"/>
      <c r="F65" s="8"/>
      <c r="G65" s="8"/>
      <c r="H65" s="8"/>
      <c r="I65" s="8"/>
      <c r="J65" s="8"/>
      <c r="K65" s="8"/>
      <c r="L65" s="8"/>
      <c r="M65" s="8"/>
      <c r="N65" s="8"/>
      <c r="O65" s="8"/>
      <c r="P65" s="8"/>
      <c r="Q65" s="8"/>
      <c r="R65" s="8"/>
      <c r="S65" s="8"/>
      <c r="T65" s="8"/>
      <c r="U65" s="8"/>
    </row>
    <row r="66" spans="1:21" x14ac:dyDescent="0.3">
      <c r="A66" s="8"/>
      <c r="B66" s="8"/>
      <c r="C66" s="8"/>
      <c r="D66" s="8"/>
      <c r="E66" s="8"/>
      <c r="F66" s="8"/>
      <c r="G66" s="8"/>
      <c r="H66" s="8"/>
      <c r="I66" s="8"/>
      <c r="J66" s="8"/>
      <c r="K66" s="8"/>
      <c r="L66" s="8"/>
      <c r="M66" s="8"/>
      <c r="N66" s="8"/>
      <c r="O66" s="8"/>
      <c r="P66" s="8"/>
      <c r="Q66" s="8"/>
      <c r="R66" s="8"/>
      <c r="S66" s="8"/>
      <c r="T66" s="8"/>
      <c r="U66" s="8"/>
    </row>
    <row r="67" spans="1:21" x14ac:dyDescent="0.3">
      <c r="A67" s="8"/>
      <c r="B67" s="8"/>
      <c r="C67" s="8"/>
      <c r="D67" s="8"/>
      <c r="E67" s="8"/>
      <c r="F67" s="8"/>
      <c r="G67" s="8"/>
      <c r="H67" s="8"/>
      <c r="I67" s="8"/>
      <c r="J67" s="8"/>
      <c r="K67" s="8"/>
      <c r="L67" s="8"/>
      <c r="M67" s="8"/>
      <c r="N67" s="8"/>
      <c r="O67" s="8"/>
      <c r="P67" s="8"/>
      <c r="Q67" s="8"/>
      <c r="R67" s="8"/>
      <c r="S67" s="8"/>
      <c r="T67" s="8"/>
      <c r="U67" s="8"/>
    </row>
    <row r="68" spans="1:21" x14ac:dyDescent="0.3">
      <c r="A68" s="8"/>
      <c r="B68" s="8"/>
      <c r="C68" s="8"/>
      <c r="D68" s="8"/>
      <c r="E68" s="8"/>
      <c r="F68" s="8"/>
      <c r="G68" s="8"/>
      <c r="H68" s="8"/>
      <c r="I68" s="8"/>
      <c r="J68" s="8"/>
      <c r="K68" s="8"/>
      <c r="L68" s="8"/>
      <c r="M68" s="8"/>
      <c r="N68" s="8"/>
      <c r="O68" s="8"/>
      <c r="P68" s="8"/>
      <c r="Q68" s="8"/>
      <c r="R68" s="8"/>
      <c r="S68" s="8"/>
      <c r="T68" s="8"/>
      <c r="U68" s="8"/>
    </row>
    <row r="69" spans="1:21" x14ac:dyDescent="0.3">
      <c r="A69" s="8"/>
      <c r="B69" s="8"/>
      <c r="C69" s="8"/>
      <c r="D69" s="8"/>
      <c r="E69" s="8"/>
      <c r="F69" s="8"/>
      <c r="G69" s="8"/>
      <c r="H69" s="8"/>
      <c r="I69" s="8"/>
      <c r="J69" s="8"/>
      <c r="K69" s="8"/>
      <c r="L69" s="8"/>
      <c r="M69" s="8"/>
      <c r="N69" s="8"/>
      <c r="O69" s="8"/>
      <c r="P69" s="8"/>
      <c r="Q69" s="8"/>
      <c r="R69" s="8"/>
      <c r="S69" s="8"/>
      <c r="T69" s="8"/>
      <c r="U69" s="8"/>
    </row>
    <row r="70" spans="1:21" x14ac:dyDescent="0.3">
      <c r="A70" s="8"/>
      <c r="B70" s="8"/>
      <c r="C70" s="8"/>
      <c r="D70" s="8"/>
      <c r="E70" s="8"/>
      <c r="F70" s="8"/>
      <c r="G70" s="8"/>
      <c r="H70" s="8"/>
      <c r="I70" s="8"/>
      <c r="J70" s="8"/>
      <c r="K70" s="8"/>
      <c r="L70" s="8"/>
      <c r="M70" s="8"/>
      <c r="N70" s="8"/>
      <c r="O70" s="8"/>
      <c r="P70" s="8"/>
      <c r="Q70" s="8"/>
      <c r="R70" s="8"/>
      <c r="S70" s="8"/>
      <c r="T70" s="8"/>
      <c r="U70" s="8"/>
    </row>
    <row r="71" spans="1:21" x14ac:dyDescent="0.3">
      <c r="A71" s="8"/>
      <c r="B71" s="8"/>
      <c r="C71" s="8"/>
      <c r="D71" s="8"/>
      <c r="E71" s="8"/>
      <c r="F71" s="8"/>
      <c r="G71" s="8"/>
      <c r="H71" s="8"/>
      <c r="I71" s="8"/>
      <c r="J71" s="8"/>
      <c r="K71" s="8"/>
      <c r="L71" s="8"/>
      <c r="M71" s="8"/>
      <c r="N71" s="8"/>
      <c r="O71" s="8"/>
      <c r="P71" s="8"/>
      <c r="Q71" s="8"/>
      <c r="R71" s="8"/>
      <c r="S71" s="8"/>
      <c r="T71" s="8"/>
      <c r="U71" s="8"/>
    </row>
    <row r="72" spans="1:21" x14ac:dyDescent="0.3">
      <c r="A72" s="8"/>
      <c r="B72" s="8"/>
      <c r="C72" s="8"/>
      <c r="D72" s="8"/>
      <c r="E72" s="8"/>
      <c r="F72" s="8"/>
      <c r="G72" s="8"/>
      <c r="H72" s="8"/>
      <c r="I72" s="8"/>
      <c r="J72" s="8"/>
      <c r="K72" s="8"/>
      <c r="L72" s="8"/>
      <c r="M72" s="8"/>
      <c r="N72" s="8"/>
      <c r="O72" s="8"/>
      <c r="P72" s="8"/>
      <c r="Q72" s="8"/>
      <c r="R72" s="8"/>
      <c r="S72" s="8"/>
      <c r="T72" s="8"/>
      <c r="U72" s="8"/>
    </row>
    <row r="73" spans="1:21" x14ac:dyDescent="0.3">
      <c r="A73" s="8"/>
      <c r="B73" s="8"/>
      <c r="C73" s="8"/>
      <c r="D73" s="8"/>
      <c r="E73" s="8"/>
      <c r="F73" s="8"/>
      <c r="G73" s="8"/>
      <c r="H73" s="8"/>
      <c r="I73" s="8"/>
      <c r="J73" s="8"/>
      <c r="K73" s="8"/>
      <c r="L73" s="8"/>
      <c r="M73" s="8"/>
      <c r="N73" s="8"/>
      <c r="O73" s="8"/>
      <c r="P73" s="8"/>
      <c r="Q73" s="8"/>
      <c r="R73" s="8"/>
      <c r="S73" s="8"/>
      <c r="T73" s="8"/>
      <c r="U73" s="8"/>
    </row>
    <row r="74" spans="1:21" x14ac:dyDescent="0.3">
      <c r="A74" s="8"/>
      <c r="B74" s="8"/>
      <c r="C74" s="8"/>
      <c r="D74" s="8"/>
      <c r="E74" s="8"/>
      <c r="F74" s="8"/>
      <c r="G74" s="8"/>
      <c r="H74" s="8"/>
      <c r="I74" s="8"/>
      <c r="J74" s="8"/>
      <c r="K74" s="8"/>
      <c r="L74" s="8"/>
      <c r="M74" s="8"/>
      <c r="N74" s="8"/>
      <c r="O74" s="8"/>
      <c r="P74" s="8"/>
      <c r="Q74" s="8"/>
      <c r="R74" s="8"/>
      <c r="S74" s="8"/>
      <c r="T74" s="8"/>
      <c r="U74" s="8"/>
    </row>
    <row r="75" spans="1:21" x14ac:dyDescent="0.3">
      <c r="A75" s="8"/>
      <c r="B75" s="8"/>
      <c r="C75" s="8"/>
      <c r="D75" s="8"/>
      <c r="E75" s="8"/>
      <c r="F75" s="8"/>
      <c r="G75" s="8"/>
      <c r="H75" s="8"/>
      <c r="I75" s="8"/>
      <c r="J75" s="8"/>
      <c r="K75" s="8"/>
      <c r="L75" s="8"/>
      <c r="M75" s="8"/>
      <c r="N75" s="8"/>
      <c r="O75" s="8"/>
      <c r="P75" s="8"/>
      <c r="Q75" s="8"/>
      <c r="R75" s="8"/>
      <c r="S75" s="8"/>
      <c r="T75" s="8"/>
      <c r="U75" s="8"/>
    </row>
    <row r="76" spans="1:21" x14ac:dyDescent="0.3">
      <c r="A76" s="8"/>
      <c r="B76" s="8"/>
      <c r="C76" s="8"/>
      <c r="D76" s="8"/>
      <c r="E76" s="8"/>
      <c r="F76" s="8"/>
      <c r="G76" s="8"/>
      <c r="H76" s="8"/>
      <c r="I76" s="8"/>
      <c r="J76" s="8"/>
      <c r="K76" s="8"/>
      <c r="L76" s="8"/>
      <c r="M76" s="8"/>
      <c r="N76" s="8"/>
      <c r="O76" s="8"/>
      <c r="P76" s="8"/>
      <c r="Q76" s="8"/>
      <c r="R76" s="8"/>
      <c r="S76" s="8"/>
      <c r="T76" s="8"/>
      <c r="U76" s="8"/>
    </row>
    <row r="77" spans="1:21" x14ac:dyDescent="0.3">
      <c r="A77" s="8"/>
      <c r="B77" s="8"/>
      <c r="C77" s="8"/>
      <c r="D77" s="8"/>
      <c r="E77" s="8"/>
      <c r="F77" s="8"/>
      <c r="G77" s="8"/>
      <c r="H77" s="8"/>
      <c r="I77" s="8"/>
      <c r="J77" s="8"/>
      <c r="K77" s="8"/>
      <c r="L77" s="8"/>
      <c r="M77" s="8"/>
      <c r="N77" s="8"/>
      <c r="O77" s="8"/>
      <c r="P77" s="8"/>
      <c r="Q77" s="8"/>
      <c r="R77" s="8"/>
      <c r="S77" s="8"/>
      <c r="T77" s="8"/>
      <c r="U77" s="8"/>
    </row>
    <row r="78" spans="1:21" x14ac:dyDescent="0.3">
      <c r="A78" s="8"/>
      <c r="B78" s="8"/>
      <c r="C78" s="8"/>
      <c r="D78" s="8"/>
      <c r="E78" s="8"/>
      <c r="F78" s="8"/>
      <c r="G78" s="8"/>
      <c r="H78" s="8"/>
      <c r="I78" s="8"/>
      <c r="J78" s="8"/>
      <c r="K78" s="8"/>
      <c r="L78" s="8"/>
      <c r="M78" s="8"/>
      <c r="N78" s="8"/>
      <c r="O78" s="8"/>
      <c r="P78" s="8"/>
      <c r="Q78" s="8"/>
      <c r="R78" s="8"/>
      <c r="S78" s="8"/>
      <c r="T78" s="8"/>
      <c r="U78" s="8"/>
    </row>
    <row r="79" spans="1:21" x14ac:dyDescent="0.3">
      <c r="A79" s="8"/>
      <c r="B79" s="8"/>
      <c r="C79" s="8"/>
      <c r="D79" s="8"/>
      <c r="E79" s="8"/>
      <c r="F79" s="8"/>
      <c r="G79" s="8"/>
      <c r="H79" s="8"/>
      <c r="I79" s="8"/>
      <c r="J79" s="8"/>
      <c r="K79" s="8"/>
      <c r="L79" s="8"/>
      <c r="M79" s="8"/>
      <c r="N79" s="8"/>
      <c r="O79" s="8"/>
      <c r="P79" s="8"/>
      <c r="Q79" s="8"/>
      <c r="R79" s="8"/>
      <c r="S79" s="8"/>
      <c r="T79" s="8"/>
      <c r="U79" s="8"/>
    </row>
    <row r="80" spans="1:21" x14ac:dyDescent="0.3">
      <c r="A80" s="8"/>
      <c r="B80" s="8"/>
      <c r="C80" s="8"/>
      <c r="D80" s="8"/>
      <c r="E80" s="8"/>
      <c r="F80" s="8"/>
      <c r="G80" s="8"/>
      <c r="H80" s="8"/>
      <c r="I80" s="8"/>
      <c r="J80" s="8"/>
      <c r="K80" s="8"/>
      <c r="L80" s="8"/>
      <c r="M80" s="8"/>
      <c r="N80" s="8"/>
      <c r="O80" s="8"/>
      <c r="P80" s="8"/>
      <c r="Q80" s="8"/>
      <c r="R80" s="8"/>
      <c r="S80" s="8"/>
      <c r="T80" s="8"/>
      <c r="U80" s="8"/>
    </row>
    <row r="81" spans="1:21" x14ac:dyDescent="0.3">
      <c r="A81" s="8"/>
      <c r="B81" s="8"/>
      <c r="C81" s="8"/>
      <c r="D81" s="8"/>
      <c r="E81" s="8"/>
      <c r="F81" s="8"/>
      <c r="G81" s="8"/>
      <c r="H81" s="8"/>
      <c r="I81" s="8"/>
      <c r="J81" s="8"/>
      <c r="K81" s="8"/>
      <c r="L81" s="8"/>
      <c r="M81" s="8"/>
      <c r="N81" s="8"/>
      <c r="O81" s="8"/>
      <c r="P81" s="8"/>
      <c r="Q81" s="8"/>
      <c r="R81" s="8"/>
      <c r="S81" s="8"/>
      <c r="T81" s="8"/>
      <c r="U81" s="8"/>
    </row>
    <row r="82" spans="1:21" x14ac:dyDescent="0.3">
      <c r="A82" s="8"/>
      <c r="B82" s="8"/>
      <c r="C82" s="8"/>
      <c r="D82" s="8"/>
      <c r="E82" s="8"/>
      <c r="F82" s="8"/>
      <c r="G82" s="8"/>
      <c r="H82" s="8"/>
      <c r="I82" s="8"/>
      <c r="J82" s="8"/>
      <c r="K82" s="8"/>
      <c r="L82" s="8"/>
      <c r="M82" s="8"/>
      <c r="N82" s="8"/>
      <c r="O82" s="8"/>
      <c r="P82" s="8"/>
      <c r="Q82" s="8"/>
      <c r="R82" s="8"/>
      <c r="S82" s="8"/>
      <c r="T82" s="8"/>
      <c r="U82" s="8"/>
    </row>
    <row r="83" spans="1:21" x14ac:dyDescent="0.3">
      <c r="A83" s="8"/>
      <c r="B83" s="8"/>
      <c r="C83" s="8"/>
      <c r="D83" s="8"/>
      <c r="E83" s="8"/>
      <c r="F83" s="8"/>
      <c r="G83" s="8"/>
      <c r="H83" s="8"/>
      <c r="I83" s="8"/>
      <c r="J83" s="8"/>
      <c r="K83" s="8"/>
      <c r="L83" s="8"/>
      <c r="M83" s="8"/>
      <c r="N83" s="8"/>
      <c r="O83" s="8"/>
      <c r="P83" s="8"/>
      <c r="Q83" s="8"/>
      <c r="R83" s="8"/>
      <c r="S83" s="8"/>
      <c r="T83" s="8"/>
      <c r="U83" s="8"/>
    </row>
    <row r="84" spans="1:21" x14ac:dyDescent="0.3">
      <c r="A84" s="8"/>
      <c r="B84" s="8"/>
      <c r="C84" s="8"/>
      <c r="D84" s="8"/>
      <c r="E84" s="8"/>
      <c r="F84" s="8"/>
      <c r="G84" s="8"/>
      <c r="H84" s="8"/>
      <c r="I84" s="8"/>
      <c r="J84" s="8"/>
      <c r="K84" s="8"/>
      <c r="L84" s="8"/>
      <c r="M84" s="8"/>
      <c r="N84" s="8"/>
      <c r="O84" s="8"/>
      <c r="P84" s="8"/>
      <c r="Q84" s="8"/>
      <c r="R84" s="8"/>
      <c r="S84" s="8"/>
      <c r="T84" s="8"/>
      <c r="U84" s="8"/>
    </row>
    <row r="85" spans="1:21" x14ac:dyDescent="0.3">
      <c r="A85" s="8"/>
      <c r="B85" s="8"/>
      <c r="C85" s="8"/>
      <c r="D85" s="8"/>
      <c r="E85" s="8"/>
      <c r="F85" s="8"/>
      <c r="G85" s="8"/>
      <c r="H85" s="8"/>
      <c r="I85" s="8"/>
      <c r="J85" s="8"/>
      <c r="K85" s="8"/>
      <c r="L85" s="8"/>
      <c r="M85" s="8"/>
      <c r="N85" s="8"/>
      <c r="O85" s="8"/>
      <c r="P85" s="8"/>
      <c r="Q85" s="8"/>
      <c r="R85" s="8"/>
      <c r="S85" s="8"/>
      <c r="T85" s="8"/>
      <c r="U85" s="8"/>
    </row>
    <row r="86" spans="1:21" x14ac:dyDescent="0.3">
      <c r="A86" s="8"/>
      <c r="B86" s="8"/>
      <c r="C86" s="8"/>
      <c r="D86" s="8"/>
      <c r="E86" s="8"/>
      <c r="F86" s="8"/>
      <c r="G86" s="8"/>
      <c r="H86" s="8"/>
      <c r="I86" s="8"/>
      <c r="J86" s="8"/>
      <c r="K86" s="8"/>
      <c r="L86" s="8"/>
      <c r="M86" s="8"/>
      <c r="N86" s="8"/>
      <c r="O86" s="8"/>
      <c r="P86" s="8"/>
      <c r="Q86" s="8"/>
      <c r="R86" s="8"/>
      <c r="S86" s="8"/>
      <c r="T86" s="8"/>
      <c r="U86" s="8"/>
    </row>
    <row r="87" spans="1:21" x14ac:dyDescent="0.3">
      <c r="A87" s="8"/>
      <c r="B87" s="8"/>
      <c r="C87" s="8"/>
      <c r="D87" s="8"/>
      <c r="E87" s="8"/>
      <c r="F87" s="8"/>
      <c r="G87" s="8"/>
      <c r="H87" s="8"/>
      <c r="I87" s="8"/>
      <c r="J87" s="8"/>
      <c r="K87" s="8"/>
      <c r="L87" s="8"/>
      <c r="M87" s="8"/>
      <c r="N87" s="8"/>
      <c r="O87" s="8"/>
      <c r="P87" s="8"/>
      <c r="Q87" s="8"/>
      <c r="R87" s="8"/>
      <c r="S87" s="8"/>
      <c r="T87" s="8"/>
      <c r="U87" s="8"/>
    </row>
    <row r="88" spans="1:21" x14ac:dyDescent="0.3">
      <c r="A88" s="8"/>
      <c r="B88" s="8"/>
      <c r="C88" s="8"/>
      <c r="D88" s="8"/>
      <c r="E88" s="8"/>
      <c r="F88" s="8"/>
      <c r="G88" s="8"/>
      <c r="H88" s="8"/>
      <c r="I88" s="8"/>
      <c r="J88" s="8"/>
      <c r="K88" s="8"/>
      <c r="L88" s="8"/>
      <c r="M88" s="8"/>
      <c r="N88" s="8"/>
      <c r="O88" s="8"/>
      <c r="P88" s="8"/>
      <c r="Q88" s="8"/>
      <c r="R88" s="8"/>
      <c r="S88" s="8"/>
      <c r="T88" s="8"/>
      <c r="U88" s="8"/>
    </row>
    <row r="89" spans="1:21" x14ac:dyDescent="0.3">
      <c r="A89" s="8"/>
      <c r="B89" s="8"/>
      <c r="C89" s="8"/>
      <c r="D89" s="8"/>
      <c r="E89" s="8"/>
      <c r="F89" s="8"/>
      <c r="G89" s="8"/>
      <c r="H89" s="8"/>
      <c r="I89" s="8"/>
      <c r="J89" s="8"/>
      <c r="K89" s="8"/>
      <c r="L89" s="8"/>
      <c r="M89" s="8"/>
      <c r="N89" s="8"/>
      <c r="O89" s="8"/>
      <c r="P89" s="8"/>
      <c r="Q89" s="8"/>
      <c r="R89" s="8"/>
      <c r="S89" s="8"/>
      <c r="T89" s="8"/>
      <c r="U89" s="8"/>
    </row>
    <row r="90" spans="1:21" x14ac:dyDescent="0.3">
      <c r="A90" s="8"/>
      <c r="B90" s="8"/>
      <c r="C90" s="8"/>
      <c r="D90" s="8"/>
      <c r="E90" s="8"/>
      <c r="F90" s="8"/>
      <c r="G90" s="8"/>
      <c r="H90" s="8"/>
      <c r="I90" s="8"/>
      <c r="J90" s="8"/>
      <c r="K90" s="8"/>
      <c r="L90" s="8"/>
      <c r="M90" s="8"/>
      <c r="N90" s="8"/>
      <c r="O90" s="8"/>
      <c r="P90" s="8"/>
      <c r="Q90" s="8"/>
      <c r="R90" s="8"/>
      <c r="S90" s="8"/>
      <c r="T90" s="8"/>
      <c r="U90" s="8"/>
    </row>
    <row r="91" spans="1:21" x14ac:dyDescent="0.3">
      <c r="A91" s="8"/>
      <c r="B91" s="8"/>
      <c r="C91" s="8"/>
      <c r="D91" s="8"/>
      <c r="E91" s="8"/>
      <c r="F91" s="8"/>
      <c r="G91" s="8"/>
      <c r="H91" s="8"/>
      <c r="I91" s="8"/>
      <c r="J91" s="8"/>
      <c r="K91" s="8"/>
      <c r="L91" s="8"/>
      <c r="M91" s="8"/>
      <c r="N91" s="8"/>
      <c r="O91" s="8"/>
      <c r="P91" s="8"/>
      <c r="Q91" s="8"/>
      <c r="R91" s="8"/>
      <c r="S91" s="8"/>
      <c r="T91" s="8"/>
      <c r="U91" s="8"/>
    </row>
    <row r="92" spans="1:21" x14ac:dyDescent="0.3">
      <c r="A92" s="8"/>
      <c r="B92" s="8"/>
      <c r="C92" s="8"/>
      <c r="D92" s="8"/>
      <c r="E92" s="8"/>
      <c r="F92" s="8"/>
      <c r="G92" s="8"/>
      <c r="H92" s="8"/>
      <c r="I92" s="8"/>
      <c r="J92" s="8"/>
      <c r="K92" s="8"/>
      <c r="L92" s="8"/>
      <c r="M92" s="8"/>
      <c r="N92" s="8"/>
      <c r="O92" s="8"/>
      <c r="P92" s="8"/>
      <c r="Q92" s="8"/>
      <c r="R92" s="8"/>
      <c r="S92" s="8"/>
      <c r="T92" s="8"/>
      <c r="U92" s="8"/>
    </row>
    <row r="93" spans="1:21" x14ac:dyDescent="0.3">
      <c r="A93" s="8"/>
      <c r="B93" s="8"/>
      <c r="C93" s="8"/>
      <c r="D93" s="8"/>
      <c r="E93" s="8"/>
      <c r="F93" s="8"/>
      <c r="G93" s="8"/>
      <c r="H93" s="8"/>
      <c r="I93" s="8"/>
      <c r="J93" s="8"/>
      <c r="K93" s="8"/>
      <c r="L93" s="8"/>
      <c r="M93" s="8"/>
      <c r="N93" s="8"/>
      <c r="O93" s="8"/>
      <c r="P93" s="8"/>
      <c r="Q93" s="8"/>
      <c r="R93" s="8"/>
      <c r="S93" s="8"/>
      <c r="T93" s="8"/>
      <c r="U93" s="8"/>
    </row>
    <row r="94" spans="1:21" x14ac:dyDescent="0.3">
      <c r="A94" s="8"/>
      <c r="B94" s="8"/>
      <c r="C94" s="8"/>
      <c r="D94" s="8"/>
      <c r="E94" s="8"/>
      <c r="F94" s="8"/>
      <c r="G94" s="8"/>
      <c r="H94" s="8"/>
      <c r="I94" s="8"/>
      <c r="J94" s="8"/>
      <c r="K94" s="8"/>
      <c r="L94" s="8"/>
      <c r="M94" s="8"/>
      <c r="N94" s="8"/>
      <c r="O94" s="8"/>
      <c r="P94" s="8"/>
      <c r="Q94" s="8"/>
      <c r="R94" s="8"/>
      <c r="S94" s="8"/>
      <c r="T94" s="8"/>
      <c r="U94" s="8"/>
    </row>
    <row r="95" spans="1:21" x14ac:dyDescent="0.3">
      <c r="A95" s="8"/>
      <c r="B95" s="8"/>
      <c r="C95" s="8"/>
      <c r="D95" s="8"/>
      <c r="E95" s="8"/>
      <c r="F95" s="8"/>
      <c r="G95" s="8"/>
      <c r="H95" s="8"/>
      <c r="I95" s="8"/>
      <c r="J95" s="8"/>
      <c r="K95" s="8"/>
      <c r="L95" s="8"/>
      <c r="M95" s="8"/>
      <c r="N95" s="8"/>
      <c r="O95" s="8"/>
      <c r="P95" s="8"/>
      <c r="Q95" s="8"/>
      <c r="R95" s="8"/>
      <c r="S95" s="8"/>
      <c r="T95" s="8"/>
      <c r="U95" s="8"/>
    </row>
    <row r="96" spans="1:21" x14ac:dyDescent="0.3">
      <c r="A96" s="8"/>
      <c r="B96" s="8"/>
      <c r="C96" s="8"/>
      <c r="D96" s="8"/>
      <c r="E96" s="8"/>
      <c r="F96" s="8"/>
      <c r="G96" s="8"/>
      <c r="H96" s="8"/>
      <c r="I96" s="8"/>
      <c r="J96" s="8"/>
      <c r="K96" s="8"/>
      <c r="L96" s="8"/>
      <c r="M96" s="8"/>
      <c r="N96" s="8"/>
      <c r="O96" s="8"/>
      <c r="P96" s="8"/>
      <c r="Q96" s="8"/>
      <c r="R96" s="8"/>
      <c r="S96" s="8"/>
      <c r="T96" s="8"/>
      <c r="U96" s="8"/>
    </row>
    <row r="97" spans="1:21" x14ac:dyDescent="0.3">
      <c r="A97" s="8"/>
      <c r="B97" s="8"/>
      <c r="C97" s="8"/>
      <c r="D97" s="8"/>
      <c r="E97" s="8"/>
      <c r="F97" s="8"/>
      <c r="G97" s="8"/>
      <c r="H97" s="8"/>
      <c r="I97" s="8"/>
      <c r="J97" s="8"/>
      <c r="K97" s="8"/>
      <c r="L97" s="8"/>
      <c r="M97" s="8"/>
      <c r="N97" s="8"/>
      <c r="O97" s="8"/>
      <c r="P97" s="8"/>
      <c r="Q97" s="8"/>
      <c r="R97" s="8"/>
      <c r="S97" s="8"/>
      <c r="T97" s="8"/>
      <c r="U97" s="8"/>
    </row>
    <row r="98" spans="1:21" x14ac:dyDescent="0.3">
      <c r="A98" s="8"/>
      <c r="B98" s="8"/>
      <c r="C98" s="8"/>
      <c r="D98" s="8"/>
      <c r="E98" s="8"/>
      <c r="F98" s="8"/>
      <c r="G98" s="8"/>
      <c r="H98" s="8"/>
      <c r="I98" s="8"/>
      <c r="J98" s="8"/>
      <c r="K98" s="8"/>
      <c r="L98" s="8"/>
      <c r="M98" s="8"/>
      <c r="N98" s="8"/>
      <c r="O98" s="8"/>
      <c r="P98" s="8"/>
      <c r="Q98" s="8"/>
      <c r="R98" s="8"/>
      <c r="S98" s="8"/>
      <c r="T98" s="8"/>
      <c r="U98" s="8"/>
    </row>
    <row r="99" spans="1:21" x14ac:dyDescent="0.3">
      <c r="A99" s="8"/>
      <c r="B99" s="8"/>
      <c r="C99" s="8"/>
      <c r="D99" s="8"/>
      <c r="E99" s="8"/>
      <c r="F99" s="8"/>
      <c r="G99" s="8"/>
      <c r="H99" s="8"/>
      <c r="I99" s="8"/>
      <c r="J99" s="8"/>
      <c r="K99" s="8"/>
      <c r="L99" s="8"/>
      <c r="M99" s="8"/>
      <c r="N99" s="8"/>
      <c r="O99" s="8"/>
      <c r="P99" s="8"/>
      <c r="Q99" s="8"/>
      <c r="R99" s="8"/>
      <c r="S99" s="8"/>
      <c r="T99" s="8"/>
      <c r="U99" s="8"/>
    </row>
    <row r="100" spans="1:21" x14ac:dyDescent="0.3">
      <c r="A100" s="8"/>
      <c r="B100" s="8"/>
      <c r="C100" s="8"/>
      <c r="D100" s="8"/>
      <c r="E100" s="8"/>
      <c r="F100" s="8"/>
      <c r="G100" s="8"/>
      <c r="H100" s="8"/>
      <c r="I100" s="8"/>
      <c r="J100" s="8"/>
      <c r="K100" s="8"/>
      <c r="L100" s="8"/>
      <c r="M100" s="8"/>
      <c r="N100" s="8"/>
      <c r="O100" s="8"/>
      <c r="P100" s="8"/>
      <c r="Q100" s="8"/>
      <c r="R100" s="8"/>
      <c r="S100" s="8"/>
      <c r="T100" s="8"/>
      <c r="U100" s="8"/>
    </row>
    <row r="101" spans="1:21" x14ac:dyDescent="0.3">
      <c r="A101" s="8"/>
      <c r="B101" s="8"/>
      <c r="C101" s="8"/>
      <c r="D101" s="8"/>
      <c r="E101" s="8"/>
      <c r="F101" s="8"/>
      <c r="G101" s="8"/>
      <c r="H101" s="8"/>
      <c r="I101" s="8"/>
      <c r="J101" s="8"/>
      <c r="K101" s="8"/>
      <c r="L101" s="8"/>
      <c r="M101" s="8"/>
      <c r="N101" s="8"/>
      <c r="O101" s="8"/>
      <c r="P101" s="8"/>
      <c r="Q101" s="8"/>
      <c r="R101" s="8"/>
      <c r="S101" s="8"/>
      <c r="T101" s="8"/>
      <c r="U101" s="8"/>
    </row>
    <row r="102" spans="1:21" x14ac:dyDescent="0.3">
      <c r="A102" s="8"/>
      <c r="B102" s="8"/>
      <c r="C102" s="8"/>
      <c r="D102" s="8"/>
      <c r="E102" s="8"/>
      <c r="F102" s="8"/>
      <c r="G102" s="8"/>
      <c r="H102" s="8"/>
      <c r="I102" s="8"/>
      <c r="J102" s="8"/>
      <c r="K102" s="8"/>
      <c r="L102" s="8"/>
      <c r="M102" s="8"/>
      <c r="N102" s="8"/>
      <c r="O102" s="8"/>
      <c r="P102" s="8"/>
      <c r="Q102" s="8"/>
      <c r="R102" s="8"/>
      <c r="S102" s="8"/>
      <c r="T102" s="8"/>
      <c r="U102" s="8"/>
    </row>
    <row r="103" spans="1:21" x14ac:dyDescent="0.3">
      <c r="A103" s="8"/>
      <c r="B103" s="8"/>
      <c r="C103" s="8"/>
      <c r="D103" s="8"/>
      <c r="E103" s="8"/>
      <c r="F103" s="8"/>
      <c r="G103" s="8"/>
      <c r="H103" s="8"/>
      <c r="I103" s="8"/>
      <c r="J103" s="8"/>
      <c r="K103" s="8"/>
      <c r="L103" s="8"/>
      <c r="M103" s="8"/>
      <c r="N103" s="8"/>
      <c r="O103" s="8"/>
      <c r="P103" s="8"/>
      <c r="Q103" s="8"/>
      <c r="R103" s="8"/>
      <c r="S103" s="8"/>
      <c r="T103" s="8"/>
      <c r="U103" s="8"/>
    </row>
    <row r="104" spans="1:21" x14ac:dyDescent="0.3">
      <c r="A104" s="8"/>
      <c r="B104" s="8"/>
      <c r="C104" s="8"/>
      <c r="D104" s="8"/>
      <c r="E104" s="8"/>
      <c r="F104" s="8"/>
      <c r="G104" s="8"/>
      <c r="H104" s="8"/>
      <c r="I104" s="8"/>
      <c r="J104" s="8"/>
      <c r="K104" s="8"/>
      <c r="L104" s="8"/>
      <c r="M104" s="8"/>
      <c r="N104" s="8"/>
      <c r="O104" s="8"/>
      <c r="P104" s="8"/>
      <c r="Q104" s="8"/>
      <c r="R104" s="8"/>
      <c r="S104" s="8"/>
      <c r="T104" s="8"/>
      <c r="U104" s="8"/>
    </row>
    <row r="105" spans="1:21" x14ac:dyDescent="0.3">
      <c r="A105" s="8"/>
      <c r="B105" s="8"/>
      <c r="C105" s="8"/>
      <c r="D105" s="8"/>
      <c r="E105" s="8"/>
      <c r="F105" s="8"/>
      <c r="G105" s="8"/>
      <c r="H105" s="8"/>
      <c r="I105" s="8"/>
      <c r="J105" s="8"/>
      <c r="K105" s="8"/>
      <c r="L105" s="8"/>
      <c r="M105" s="8"/>
      <c r="N105" s="8"/>
      <c r="O105" s="8"/>
      <c r="P105" s="8"/>
      <c r="Q105" s="8"/>
      <c r="R105" s="8"/>
      <c r="S105" s="8"/>
      <c r="T105" s="8"/>
      <c r="U105" s="8"/>
    </row>
    <row r="106" spans="1:21" x14ac:dyDescent="0.3">
      <c r="A106" s="8"/>
      <c r="B106" s="8"/>
      <c r="C106" s="8"/>
      <c r="D106" s="8"/>
      <c r="E106" s="8"/>
      <c r="F106" s="8"/>
      <c r="G106" s="8"/>
      <c r="H106" s="8"/>
      <c r="I106" s="8"/>
      <c r="J106" s="8"/>
      <c r="K106" s="8"/>
      <c r="L106" s="8"/>
      <c r="M106" s="8"/>
      <c r="N106" s="8"/>
      <c r="O106" s="8"/>
      <c r="P106" s="8"/>
      <c r="Q106" s="8"/>
      <c r="R106" s="8"/>
      <c r="S106" s="8"/>
      <c r="T106" s="8"/>
      <c r="U106" s="8"/>
    </row>
    <row r="107" spans="1:21" x14ac:dyDescent="0.3">
      <c r="A107" s="8"/>
      <c r="B107" s="8"/>
      <c r="C107" s="8"/>
      <c r="D107" s="8"/>
      <c r="E107" s="8"/>
      <c r="F107" s="8"/>
      <c r="G107" s="8"/>
      <c r="H107" s="8"/>
      <c r="I107" s="8"/>
      <c r="J107" s="8"/>
      <c r="K107" s="8"/>
      <c r="L107" s="8"/>
      <c r="M107" s="8"/>
      <c r="N107" s="8"/>
      <c r="O107" s="8"/>
      <c r="P107" s="8"/>
      <c r="Q107" s="8"/>
      <c r="R107" s="8"/>
      <c r="S107" s="8"/>
      <c r="T107" s="8"/>
      <c r="U107" s="8"/>
    </row>
    <row r="108" spans="1:21" x14ac:dyDescent="0.3">
      <c r="A108" s="8"/>
      <c r="B108" s="8"/>
      <c r="C108" s="8"/>
      <c r="D108" s="8"/>
      <c r="E108" s="8"/>
      <c r="F108" s="8"/>
      <c r="G108" s="8"/>
      <c r="H108" s="8"/>
      <c r="I108" s="8"/>
      <c r="J108" s="8"/>
      <c r="K108" s="8"/>
      <c r="L108" s="8"/>
      <c r="M108" s="8"/>
      <c r="N108" s="8"/>
      <c r="O108" s="8"/>
      <c r="P108" s="8"/>
      <c r="Q108" s="8"/>
      <c r="R108" s="8"/>
      <c r="S108" s="8"/>
      <c r="T108" s="8"/>
      <c r="U108" s="8"/>
    </row>
    <row r="109" spans="1:21" x14ac:dyDescent="0.3">
      <c r="A109" s="8"/>
      <c r="B109" s="8"/>
      <c r="C109" s="8"/>
      <c r="D109" s="8"/>
      <c r="E109" s="8"/>
      <c r="F109" s="8"/>
      <c r="G109" s="8"/>
      <c r="H109" s="8"/>
      <c r="I109" s="8"/>
      <c r="J109" s="8"/>
      <c r="K109" s="8"/>
      <c r="L109" s="8"/>
      <c r="M109" s="8"/>
      <c r="N109" s="8"/>
      <c r="O109" s="8"/>
      <c r="P109" s="8"/>
      <c r="Q109" s="8"/>
      <c r="R109" s="8"/>
      <c r="S109" s="8"/>
      <c r="T109" s="8"/>
      <c r="U109" s="8"/>
    </row>
    <row r="110" spans="1:21" x14ac:dyDescent="0.3">
      <c r="A110" s="8"/>
      <c r="B110" s="8"/>
      <c r="C110" s="8"/>
      <c r="D110" s="8"/>
      <c r="E110" s="8"/>
      <c r="F110" s="8"/>
      <c r="G110" s="8"/>
      <c r="H110" s="8"/>
      <c r="I110" s="8"/>
      <c r="J110" s="8"/>
      <c r="K110" s="8"/>
      <c r="L110" s="8"/>
      <c r="M110" s="8"/>
      <c r="N110" s="8"/>
      <c r="O110" s="8"/>
      <c r="P110" s="8"/>
      <c r="Q110" s="8"/>
      <c r="R110" s="8"/>
      <c r="S110" s="8"/>
      <c r="T110" s="8"/>
      <c r="U110" s="8"/>
    </row>
    <row r="111" spans="1:21" x14ac:dyDescent="0.3">
      <c r="A111" s="8"/>
      <c r="B111" s="8"/>
      <c r="C111" s="8"/>
      <c r="D111" s="8"/>
      <c r="E111" s="8"/>
      <c r="F111" s="8"/>
      <c r="G111" s="8"/>
      <c r="H111" s="8"/>
      <c r="I111" s="8"/>
      <c r="J111" s="8"/>
      <c r="K111" s="8"/>
      <c r="L111" s="8"/>
      <c r="M111" s="8"/>
      <c r="N111" s="8"/>
      <c r="O111" s="8"/>
      <c r="P111" s="8"/>
      <c r="Q111" s="8"/>
      <c r="R111" s="8"/>
      <c r="S111" s="8"/>
      <c r="T111" s="8"/>
      <c r="U111" s="8"/>
    </row>
    <row r="112" spans="1:21" x14ac:dyDescent="0.3">
      <c r="A112" s="8"/>
      <c r="B112" s="8"/>
      <c r="C112" s="8"/>
      <c r="D112" s="8"/>
      <c r="E112" s="8"/>
      <c r="F112" s="8"/>
      <c r="G112" s="8"/>
      <c r="H112" s="8"/>
      <c r="I112" s="8"/>
      <c r="J112" s="8"/>
      <c r="K112" s="8"/>
      <c r="L112" s="8"/>
      <c r="M112" s="8"/>
      <c r="N112" s="8"/>
      <c r="O112" s="8"/>
      <c r="P112" s="8"/>
      <c r="Q112" s="8"/>
      <c r="R112" s="8"/>
      <c r="S112" s="8"/>
      <c r="T112" s="8"/>
      <c r="U112" s="8"/>
    </row>
    <row r="113" spans="1:21" x14ac:dyDescent="0.3">
      <c r="A113" s="8"/>
      <c r="B113" s="8"/>
      <c r="C113" s="8"/>
      <c r="D113" s="8"/>
      <c r="E113" s="8"/>
      <c r="F113" s="8"/>
      <c r="G113" s="8"/>
      <c r="H113" s="8"/>
      <c r="I113" s="8"/>
      <c r="J113" s="8"/>
      <c r="K113" s="8"/>
      <c r="L113" s="8"/>
      <c r="M113" s="8"/>
      <c r="N113" s="8"/>
      <c r="O113" s="8"/>
      <c r="P113" s="8"/>
      <c r="Q113" s="8"/>
      <c r="R113" s="8"/>
      <c r="S113" s="8"/>
      <c r="T113" s="8"/>
      <c r="U113" s="8"/>
    </row>
    <row r="114" spans="1:21" x14ac:dyDescent="0.3">
      <c r="A114" s="8"/>
      <c r="B114" s="8"/>
      <c r="C114" s="8"/>
      <c r="D114" s="8"/>
      <c r="E114" s="8"/>
      <c r="F114" s="8"/>
      <c r="G114" s="8"/>
      <c r="H114" s="8"/>
      <c r="I114" s="8"/>
      <c r="J114" s="8"/>
      <c r="K114" s="8"/>
      <c r="L114" s="8"/>
      <c r="M114" s="8"/>
      <c r="N114" s="8"/>
      <c r="O114" s="8"/>
      <c r="P114" s="8"/>
      <c r="Q114" s="8"/>
      <c r="R114" s="8"/>
      <c r="S114" s="8"/>
      <c r="T114" s="8"/>
      <c r="U114" s="8"/>
    </row>
    <row r="115" spans="1:21" x14ac:dyDescent="0.3">
      <c r="A115" s="8"/>
      <c r="B115" s="8"/>
      <c r="C115" s="8"/>
      <c r="D115" s="8"/>
      <c r="E115" s="8"/>
      <c r="F115" s="8"/>
      <c r="G115" s="8"/>
      <c r="H115" s="8"/>
      <c r="I115" s="8"/>
      <c r="J115" s="8"/>
      <c r="K115" s="8"/>
      <c r="L115" s="8"/>
      <c r="M115" s="8"/>
      <c r="N115" s="8"/>
      <c r="O115" s="8"/>
      <c r="P115" s="8"/>
      <c r="Q115" s="8"/>
      <c r="R115" s="8"/>
      <c r="S115" s="8"/>
      <c r="T115" s="8"/>
      <c r="U115" s="8"/>
    </row>
    <row r="116" spans="1:21" x14ac:dyDescent="0.3">
      <c r="A116" s="8"/>
      <c r="B116" s="8"/>
      <c r="C116" s="8"/>
      <c r="D116" s="8"/>
      <c r="E116" s="8"/>
      <c r="F116" s="8"/>
      <c r="G116" s="8"/>
      <c r="H116" s="8"/>
      <c r="I116" s="8"/>
      <c r="J116" s="8"/>
      <c r="K116" s="8"/>
      <c r="L116" s="8"/>
      <c r="M116" s="8"/>
      <c r="N116" s="8"/>
      <c r="O116" s="8"/>
      <c r="P116" s="8"/>
      <c r="Q116" s="8"/>
      <c r="R116" s="8"/>
      <c r="S116" s="8"/>
      <c r="T116" s="8"/>
      <c r="U116" s="8"/>
    </row>
    <row r="117" spans="1:21" x14ac:dyDescent="0.3">
      <c r="A117" s="8"/>
      <c r="B117" s="8"/>
      <c r="C117" s="8"/>
      <c r="D117" s="8"/>
      <c r="E117" s="8"/>
      <c r="F117" s="8"/>
      <c r="G117" s="8"/>
      <c r="H117" s="8"/>
      <c r="I117" s="8"/>
      <c r="J117" s="8"/>
      <c r="K117" s="8"/>
      <c r="L117" s="8"/>
      <c r="M117" s="8"/>
      <c r="N117" s="8"/>
      <c r="O117" s="8"/>
      <c r="P117" s="8"/>
      <c r="Q117" s="8"/>
      <c r="R117" s="8"/>
      <c r="S117" s="8"/>
      <c r="T117" s="8"/>
      <c r="U117" s="8"/>
    </row>
    <row r="118" spans="1:21" x14ac:dyDescent="0.3">
      <c r="A118" s="8"/>
      <c r="B118" s="8"/>
      <c r="C118" s="8"/>
      <c r="D118" s="8"/>
      <c r="E118" s="8"/>
      <c r="F118" s="8"/>
      <c r="G118" s="8"/>
      <c r="H118" s="8"/>
      <c r="I118" s="8"/>
      <c r="J118" s="8"/>
      <c r="K118" s="8"/>
      <c r="L118" s="8"/>
      <c r="M118" s="8"/>
      <c r="N118" s="8"/>
      <c r="O118" s="8"/>
      <c r="P118" s="8"/>
      <c r="Q118" s="8"/>
      <c r="R118" s="8"/>
      <c r="S118" s="8"/>
      <c r="T118" s="8"/>
      <c r="U118" s="8"/>
    </row>
    <row r="119" spans="1:21" x14ac:dyDescent="0.3">
      <c r="A119" s="8"/>
      <c r="B119" s="8"/>
      <c r="C119" s="8"/>
      <c r="D119" s="8"/>
      <c r="E119" s="8"/>
      <c r="F119" s="8"/>
      <c r="G119" s="8"/>
      <c r="H119" s="8"/>
      <c r="I119" s="8"/>
      <c r="J119" s="8"/>
      <c r="K119" s="8"/>
      <c r="L119" s="8"/>
      <c r="M119" s="8"/>
      <c r="N119" s="8"/>
      <c r="O119" s="8"/>
      <c r="P119" s="8"/>
      <c r="Q119" s="8"/>
      <c r="R119" s="8"/>
      <c r="S119" s="8"/>
      <c r="T119" s="8"/>
      <c r="U119" s="8"/>
    </row>
    <row r="120" spans="1:21" x14ac:dyDescent="0.3">
      <c r="A120" s="8"/>
      <c r="B120" s="8"/>
      <c r="C120" s="8"/>
      <c r="D120" s="8"/>
      <c r="E120" s="8"/>
      <c r="F120" s="8"/>
      <c r="G120" s="8"/>
      <c r="H120" s="8"/>
      <c r="I120" s="8"/>
      <c r="J120" s="8"/>
      <c r="K120" s="8"/>
      <c r="L120" s="8"/>
      <c r="M120" s="8"/>
      <c r="N120" s="8"/>
      <c r="O120" s="8"/>
      <c r="P120" s="8"/>
      <c r="Q120" s="8"/>
      <c r="R120" s="8"/>
      <c r="S120" s="8"/>
      <c r="T120" s="8"/>
      <c r="U120" s="8"/>
    </row>
    <row r="121" spans="1:21" x14ac:dyDescent="0.3">
      <c r="A121" s="8"/>
      <c r="B121" s="8"/>
      <c r="C121" s="8"/>
      <c r="D121" s="8"/>
      <c r="E121" s="8"/>
      <c r="F121" s="8"/>
      <c r="G121" s="8"/>
      <c r="H121" s="8"/>
      <c r="I121" s="8"/>
      <c r="J121" s="8"/>
      <c r="K121" s="8"/>
      <c r="L121" s="8"/>
      <c r="M121" s="8"/>
      <c r="N121" s="8"/>
      <c r="O121" s="8"/>
      <c r="P121" s="8"/>
      <c r="Q121" s="8"/>
      <c r="R121" s="8"/>
      <c r="S121" s="8"/>
      <c r="T121" s="8"/>
      <c r="U121" s="8"/>
    </row>
    <row r="122" spans="1:21" x14ac:dyDescent="0.3">
      <c r="A122" s="8"/>
      <c r="B122" s="8"/>
      <c r="C122" s="8"/>
      <c r="D122" s="8"/>
      <c r="E122" s="8"/>
      <c r="F122" s="8"/>
      <c r="G122" s="8"/>
      <c r="H122" s="8"/>
      <c r="I122" s="8"/>
      <c r="J122" s="8"/>
      <c r="K122" s="8"/>
      <c r="L122" s="8"/>
      <c r="M122" s="8"/>
      <c r="N122" s="8"/>
      <c r="O122" s="8"/>
      <c r="P122" s="8"/>
      <c r="Q122" s="8"/>
      <c r="R122" s="8"/>
      <c r="S122" s="8"/>
      <c r="T122" s="8"/>
      <c r="U122" s="8"/>
    </row>
    <row r="123" spans="1:21" x14ac:dyDescent="0.3">
      <c r="A123" s="8"/>
      <c r="B123" s="8"/>
      <c r="C123" s="8"/>
      <c r="D123" s="8"/>
      <c r="E123" s="8"/>
      <c r="F123" s="8"/>
      <c r="G123" s="8"/>
      <c r="H123" s="8"/>
      <c r="I123" s="8"/>
      <c r="J123" s="8"/>
      <c r="K123" s="8"/>
      <c r="L123" s="8"/>
      <c r="M123" s="8"/>
      <c r="N123" s="8"/>
      <c r="O123" s="8"/>
      <c r="P123" s="8"/>
      <c r="Q123" s="8"/>
      <c r="R123" s="8"/>
      <c r="S123" s="8"/>
      <c r="T123" s="8"/>
      <c r="U123" s="8"/>
    </row>
    <row r="124" spans="1:21" x14ac:dyDescent="0.3">
      <c r="A124" s="8"/>
      <c r="B124" s="8"/>
      <c r="C124" s="8"/>
      <c r="D124" s="8"/>
      <c r="E124" s="8"/>
      <c r="F124" s="8"/>
      <c r="G124" s="8"/>
      <c r="H124" s="8"/>
      <c r="I124" s="8"/>
      <c r="J124" s="8"/>
      <c r="K124" s="8"/>
      <c r="L124" s="8"/>
      <c r="M124" s="8"/>
      <c r="N124" s="8"/>
      <c r="O124" s="8"/>
      <c r="P124" s="8"/>
      <c r="Q124" s="8"/>
      <c r="R124" s="8"/>
      <c r="S124" s="8"/>
      <c r="T124" s="8"/>
      <c r="U124" s="8"/>
    </row>
    <row r="125" spans="1:21" x14ac:dyDescent="0.3">
      <c r="A125" s="8"/>
      <c r="B125" s="8"/>
      <c r="C125" s="8"/>
      <c r="D125" s="8"/>
      <c r="E125" s="8"/>
      <c r="F125" s="8"/>
      <c r="G125" s="8"/>
      <c r="H125" s="8"/>
      <c r="I125" s="8"/>
      <c r="J125" s="8"/>
      <c r="K125" s="8"/>
      <c r="L125" s="8"/>
      <c r="M125" s="8"/>
      <c r="N125" s="8"/>
      <c r="O125" s="8"/>
      <c r="P125" s="8"/>
      <c r="Q125" s="8"/>
      <c r="R125" s="8"/>
      <c r="S125" s="8"/>
      <c r="T125" s="8"/>
      <c r="U125" s="8"/>
    </row>
    <row r="126" spans="1:21" x14ac:dyDescent="0.3">
      <c r="A126" s="8"/>
      <c r="B126" s="8"/>
      <c r="C126" s="8"/>
      <c r="D126" s="8"/>
      <c r="E126" s="8"/>
      <c r="F126" s="8"/>
      <c r="G126" s="8"/>
      <c r="H126" s="8"/>
      <c r="I126" s="8"/>
      <c r="J126" s="8"/>
      <c r="K126" s="8"/>
      <c r="L126" s="8"/>
      <c r="M126" s="8"/>
      <c r="N126" s="8"/>
      <c r="O126" s="8"/>
      <c r="P126" s="8"/>
      <c r="Q126" s="8"/>
      <c r="R126" s="8"/>
      <c r="S126" s="8"/>
      <c r="T126" s="8"/>
      <c r="U126" s="8"/>
    </row>
    <row r="127" spans="1:21" x14ac:dyDescent="0.3">
      <c r="A127" s="8"/>
      <c r="B127" s="8"/>
      <c r="C127" s="8"/>
      <c r="D127" s="8"/>
      <c r="E127" s="8"/>
      <c r="F127" s="8"/>
      <c r="G127" s="8"/>
      <c r="H127" s="8"/>
      <c r="I127" s="8"/>
      <c r="J127" s="8"/>
      <c r="K127" s="8"/>
      <c r="L127" s="8"/>
      <c r="M127" s="8"/>
      <c r="N127" s="8"/>
      <c r="O127" s="8"/>
      <c r="P127" s="8"/>
      <c r="Q127" s="8"/>
      <c r="R127" s="8"/>
      <c r="S127" s="8"/>
      <c r="T127" s="8"/>
      <c r="U127" s="8"/>
    </row>
    <row r="128" spans="1:21" x14ac:dyDescent="0.3">
      <c r="A128" s="8"/>
      <c r="B128" s="8"/>
      <c r="C128" s="8"/>
      <c r="D128" s="8"/>
      <c r="E128" s="8"/>
      <c r="F128" s="8"/>
      <c r="G128" s="8"/>
      <c r="H128" s="8"/>
      <c r="I128" s="8"/>
      <c r="J128" s="8"/>
      <c r="K128" s="8"/>
      <c r="L128" s="8"/>
      <c r="M128" s="8"/>
      <c r="N128" s="8"/>
      <c r="O128" s="8"/>
      <c r="P128" s="8"/>
      <c r="Q128" s="8"/>
      <c r="R128" s="8"/>
      <c r="S128" s="8"/>
      <c r="T128" s="8"/>
      <c r="U128" s="8"/>
    </row>
    <row r="129" spans="1:21" x14ac:dyDescent="0.3">
      <c r="A129" s="8"/>
      <c r="B129" s="8"/>
      <c r="C129" s="8"/>
      <c r="D129" s="8"/>
      <c r="E129" s="8"/>
      <c r="F129" s="8"/>
      <c r="G129" s="8"/>
      <c r="H129" s="8"/>
      <c r="I129" s="8"/>
      <c r="J129" s="8"/>
      <c r="K129" s="8"/>
      <c r="L129" s="8"/>
      <c r="M129" s="8"/>
      <c r="N129" s="8"/>
      <c r="O129" s="8"/>
      <c r="P129" s="8"/>
      <c r="Q129" s="8"/>
      <c r="R129" s="8"/>
      <c r="S129" s="8"/>
      <c r="T129" s="8"/>
      <c r="U129" s="8"/>
    </row>
    <row r="130" spans="1:21" x14ac:dyDescent="0.3">
      <c r="A130" s="8"/>
      <c r="B130" s="8"/>
      <c r="C130" s="8"/>
      <c r="D130" s="8"/>
      <c r="E130" s="8"/>
      <c r="F130" s="8"/>
      <c r="G130" s="8"/>
      <c r="H130" s="8"/>
      <c r="I130" s="8"/>
      <c r="J130" s="8"/>
      <c r="K130" s="8"/>
      <c r="L130" s="8"/>
      <c r="M130" s="8"/>
      <c r="N130" s="8"/>
      <c r="O130" s="8"/>
      <c r="P130" s="8"/>
      <c r="Q130" s="8"/>
      <c r="R130" s="8"/>
      <c r="S130" s="8"/>
      <c r="T130" s="8"/>
      <c r="U130" s="8"/>
    </row>
    <row r="131" spans="1:21" x14ac:dyDescent="0.3">
      <c r="A131" s="8"/>
      <c r="B131" s="8"/>
      <c r="C131" s="8"/>
      <c r="D131" s="8"/>
      <c r="E131" s="8"/>
      <c r="F131" s="8"/>
      <c r="G131" s="8"/>
      <c r="H131" s="8"/>
      <c r="I131" s="8"/>
      <c r="J131" s="8"/>
      <c r="K131" s="8"/>
      <c r="L131" s="8"/>
      <c r="M131" s="8"/>
      <c r="N131" s="8"/>
      <c r="O131" s="8"/>
      <c r="P131" s="8"/>
      <c r="Q131" s="8"/>
      <c r="R131" s="8"/>
      <c r="S131" s="8"/>
      <c r="T131" s="8"/>
      <c r="U131" s="8"/>
    </row>
    <row r="132" spans="1:21" x14ac:dyDescent="0.3">
      <c r="A132" s="8"/>
      <c r="B132" s="8"/>
      <c r="C132" s="8"/>
      <c r="D132" s="8"/>
      <c r="E132" s="8"/>
      <c r="F132" s="8"/>
      <c r="G132" s="8"/>
      <c r="H132" s="8"/>
      <c r="I132" s="8"/>
      <c r="J132" s="8"/>
      <c r="K132" s="8"/>
      <c r="L132" s="8"/>
      <c r="M132" s="8"/>
      <c r="N132" s="8"/>
      <c r="O132" s="8"/>
      <c r="P132" s="8"/>
      <c r="Q132" s="8"/>
      <c r="R132" s="8"/>
      <c r="S132" s="8"/>
      <c r="T132" s="8"/>
      <c r="U132" s="8"/>
    </row>
    <row r="133" spans="1:21" x14ac:dyDescent="0.3">
      <c r="A133" s="8"/>
      <c r="B133" s="8"/>
      <c r="C133" s="8"/>
      <c r="D133" s="8"/>
      <c r="E133" s="8"/>
      <c r="F133" s="8"/>
      <c r="G133" s="8"/>
      <c r="H133" s="8"/>
      <c r="I133" s="8"/>
      <c r="J133" s="8"/>
      <c r="K133" s="8"/>
      <c r="L133" s="8"/>
      <c r="M133" s="8"/>
      <c r="N133" s="8"/>
      <c r="O133" s="8"/>
      <c r="P133" s="8"/>
      <c r="Q133" s="8"/>
      <c r="R133" s="8"/>
      <c r="S133" s="8"/>
      <c r="T133" s="8"/>
      <c r="U133" s="8"/>
    </row>
    <row r="134" spans="1:21" x14ac:dyDescent="0.3">
      <c r="A134" s="8"/>
      <c r="B134" s="8"/>
      <c r="C134" s="8"/>
      <c r="D134" s="8"/>
      <c r="E134" s="8"/>
      <c r="F134" s="8"/>
      <c r="G134" s="8"/>
      <c r="H134" s="8"/>
      <c r="I134" s="8"/>
      <c r="J134" s="8"/>
      <c r="K134" s="8"/>
      <c r="L134" s="8"/>
      <c r="M134" s="8"/>
      <c r="N134" s="8"/>
      <c r="O134" s="8"/>
      <c r="P134" s="8"/>
      <c r="Q134" s="8"/>
      <c r="R134" s="8"/>
      <c r="S134" s="8"/>
      <c r="T134" s="8"/>
      <c r="U134" s="8"/>
    </row>
    <row r="135" spans="1:21" x14ac:dyDescent="0.3">
      <c r="A135" s="8"/>
      <c r="B135" s="8"/>
      <c r="C135" s="8"/>
      <c r="D135" s="8"/>
      <c r="E135" s="8"/>
      <c r="F135" s="8"/>
      <c r="G135" s="8"/>
      <c r="H135" s="8"/>
      <c r="I135" s="8"/>
      <c r="J135" s="8"/>
      <c r="K135" s="8"/>
      <c r="L135" s="8"/>
      <c r="M135" s="8"/>
      <c r="N135" s="8"/>
      <c r="O135" s="8"/>
      <c r="P135" s="8"/>
      <c r="Q135" s="8"/>
      <c r="R135" s="8"/>
      <c r="S135" s="8"/>
      <c r="T135" s="8"/>
      <c r="U135" s="8"/>
    </row>
    <row r="136" spans="1:21" x14ac:dyDescent="0.3">
      <c r="A136" s="8"/>
      <c r="B136" s="8"/>
      <c r="C136" s="8"/>
      <c r="D136" s="8"/>
      <c r="E136" s="8"/>
      <c r="F136" s="8"/>
      <c r="G136" s="8"/>
      <c r="H136" s="8"/>
      <c r="I136" s="8"/>
      <c r="J136" s="8"/>
      <c r="K136" s="8"/>
      <c r="L136" s="8"/>
      <c r="M136" s="8"/>
      <c r="N136" s="8"/>
      <c r="O136" s="8"/>
      <c r="P136" s="8"/>
      <c r="Q136" s="8"/>
      <c r="R136" s="8"/>
      <c r="S136" s="8"/>
      <c r="T136" s="8"/>
      <c r="U136" s="8"/>
    </row>
    <row r="137" spans="1:21" x14ac:dyDescent="0.3">
      <c r="A137" s="8"/>
      <c r="B137" s="8"/>
      <c r="C137" s="8"/>
      <c r="D137" s="8"/>
      <c r="E137" s="8"/>
      <c r="F137" s="8"/>
      <c r="G137" s="8"/>
      <c r="H137" s="8"/>
      <c r="I137" s="8"/>
      <c r="J137" s="8"/>
      <c r="K137" s="8"/>
      <c r="L137" s="8"/>
      <c r="M137" s="8"/>
      <c r="N137" s="8"/>
      <c r="O137" s="8"/>
      <c r="P137" s="8"/>
      <c r="Q137" s="8"/>
      <c r="R137" s="8"/>
      <c r="S137" s="8"/>
      <c r="T137" s="8"/>
      <c r="U137" s="8"/>
    </row>
    <row r="138" spans="1:21" x14ac:dyDescent="0.3">
      <c r="A138" s="8"/>
      <c r="B138" s="8"/>
      <c r="C138" s="8"/>
      <c r="D138" s="8"/>
      <c r="E138" s="8"/>
      <c r="F138" s="8"/>
      <c r="G138" s="8"/>
      <c r="H138" s="8"/>
      <c r="I138" s="8"/>
      <c r="J138" s="8"/>
      <c r="K138" s="8"/>
      <c r="L138" s="8"/>
      <c r="M138" s="8"/>
      <c r="N138" s="8"/>
      <c r="O138" s="8"/>
      <c r="P138" s="8"/>
      <c r="Q138" s="8"/>
      <c r="R138" s="8"/>
      <c r="S138" s="8"/>
      <c r="T138" s="8"/>
      <c r="U138" s="8"/>
    </row>
    <row r="139" spans="1:21" x14ac:dyDescent="0.3">
      <c r="A139" s="8"/>
      <c r="B139" s="8"/>
      <c r="C139" s="8"/>
      <c r="D139" s="8"/>
      <c r="E139" s="8"/>
      <c r="F139" s="8"/>
      <c r="G139" s="8"/>
      <c r="H139" s="8"/>
      <c r="I139" s="8"/>
      <c r="J139" s="8"/>
      <c r="K139" s="8"/>
      <c r="L139" s="8"/>
      <c r="M139" s="8"/>
      <c r="N139" s="8"/>
      <c r="O139" s="8"/>
      <c r="P139" s="8"/>
      <c r="Q139" s="8"/>
      <c r="R139" s="8"/>
      <c r="S139" s="8"/>
      <c r="T139" s="8"/>
      <c r="U139" s="8"/>
    </row>
    <row r="140" spans="1:21" x14ac:dyDescent="0.3">
      <c r="A140" s="8"/>
      <c r="B140" s="8"/>
      <c r="C140" s="8"/>
      <c r="D140" s="8"/>
      <c r="E140" s="8"/>
      <c r="F140" s="8"/>
      <c r="G140" s="8"/>
      <c r="H140" s="8"/>
      <c r="I140" s="8"/>
      <c r="J140" s="8"/>
      <c r="K140" s="8"/>
      <c r="L140" s="8"/>
      <c r="M140" s="8"/>
      <c r="N140" s="8"/>
      <c r="O140" s="8"/>
      <c r="P140" s="8"/>
      <c r="Q140" s="8"/>
      <c r="R140" s="8"/>
      <c r="S140" s="8"/>
      <c r="T140" s="8"/>
      <c r="U140" s="8"/>
    </row>
    <row r="141" spans="1:21" x14ac:dyDescent="0.3">
      <c r="A141" s="8"/>
      <c r="B141" s="8"/>
      <c r="C141" s="8"/>
      <c r="D141" s="8"/>
      <c r="E141" s="8"/>
      <c r="F141" s="8"/>
      <c r="G141" s="8"/>
      <c r="H141" s="8"/>
      <c r="I141" s="8"/>
      <c r="J141" s="8"/>
      <c r="K141" s="8"/>
      <c r="L141" s="8"/>
      <c r="M141" s="8"/>
      <c r="N141" s="8"/>
      <c r="O141" s="8"/>
      <c r="P141" s="8"/>
      <c r="Q141" s="8"/>
      <c r="R141" s="8"/>
      <c r="S141" s="8"/>
      <c r="T141" s="8"/>
      <c r="U141" s="8"/>
    </row>
    <row r="142" spans="1:21" x14ac:dyDescent="0.3">
      <c r="A142" s="8"/>
      <c r="B142" s="8"/>
      <c r="C142" s="8"/>
      <c r="D142" s="8"/>
      <c r="E142" s="8"/>
      <c r="F142" s="8"/>
      <c r="G142" s="8"/>
      <c r="H142" s="8"/>
      <c r="I142" s="8"/>
      <c r="J142" s="8"/>
      <c r="K142" s="8"/>
      <c r="L142" s="8"/>
      <c r="M142" s="8"/>
      <c r="N142" s="8"/>
      <c r="O142" s="8"/>
      <c r="P142" s="8"/>
      <c r="Q142" s="8"/>
      <c r="R142" s="8"/>
      <c r="S142" s="8"/>
      <c r="T142" s="8"/>
      <c r="U142" s="8"/>
    </row>
    <row r="143" spans="1:21" x14ac:dyDescent="0.3">
      <c r="A143" s="8"/>
      <c r="B143" s="8"/>
      <c r="C143" s="8"/>
      <c r="D143" s="8"/>
      <c r="E143" s="8"/>
      <c r="F143" s="8"/>
      <c r="G143" s="8"/>
      <c r="H143" s="8"/>
      <c r="I143" s="8"/>
      <c r="J143" s="8"/>
      <c r="K143" s="8"/>
      <c r="L143" s="8"/>
      <c r="M143" s="8"/>
      <c r="N143" s="8"/>
      <c r="O143" s="8"/>
      <c r="P143" s="8"/>
      <c r="Q143" s="8"/>
      <c r="R143" s="8"/>
      <c r="S143" s="8"/>
      <c r="T143" s="8"/>
      <c r="U143" s="8"/>
    </row>
    <row r="144" spans="1:21" x14ac:dyDescent="0.3">
      <c r="A144" s="8"/>
      <c r="B144" s="8"/>
      <c r="C144" s="8"/>
      <c r="D144" s="8"/>
      <c r="E144" s="8"/>
      <c r="F144" s="8"/>
      <c r="G144" s="8"/>
      <c r="H144" s="8"/>
      <c r="I144" s="8"/>
      <c r="J144" s="8"/>
      <c r="K144" s="8"/>
      <c r="L144" s="8"/>
      <c r="M144" s="8"/>
      <c r="N144" s="8"/>
      <c r="O144" s="8"/>
      <c r="P144" s="8"/>
      <c r="Q144" s="8"/>
      <c r="R144" s="8"/>
      <c r="S144" s="8"/>
      <c r="T144" s="8"/>
      <c r="U144" s="8"/>
    </row>
    <row r="145" spans="1:21" x14ac:dyDescent="0.3">
      <c r="A145" s="8"/>
      <c r="B145" s="8"/>
      <c r="C145" s="8"/>
      <c r="D145" s="8"/>
      <c r="E145" s="8"/>
      <c r="F145" s="8"/>
      <c r="G145" s="8"/>
      <c r="H145" s="8"/>
      <c r="I145" s="8"/>
      <c r="J145" s="8"/>
      <c r="K145" s="8"/>
      <c r="L145" s="8"/>
      <c r="M145" s="8"/>
      <c r="N145" s="8"/>
      <c r="O145" s="8"/>
      <c r="P145" s="8"/>
      <c r="Q145" s="8"/>
      <c r="R145" s="8"/>
      <c r="S145" s="8"/>
      <c r="T145" s="8"/>
      <c r="U145" s="8"/>
    </row>
    <row r="146" spans="1:21" x14ac:dyDescent="0.3">
      <c r="A146" s="8"/>
      <c r="B146" s="8"/>
      <c r="C146" s="8"/>
      <c r="D146" s="8"/>
      <c r="E146" s="8"/>
      <c r="F146" s="8"/>
      <c r="G146" s="8"/>
      <c r="H146" s="8"/>
      <c r="I146" s="8"/>
      <c r="J146" s="8"/>
      <c r="K146" s="8"/>
      <c r="L146" s="8"/>
      <c r="M146" s="8"/>
      <c r="N146" s="8"/>
      <c r="O146" s="8"/>
      <c r="P146" s="8"/>
      <c r="Q146" s="8"/>
      <c r="R146" s="8"/>
      <c r="S146" s="8"/>
      <c r="T146" s="8"/>
      <c r="U146" s="8"/>
    </row>
    <row r="147" spans="1:21" x14ac:dyDescent="0.3">
      <c r="A147" s="8"/>
      <c r="B147" s="8"/>
      <c r="C147" s="8"/>
      <c r="D147" s="8"/>
      <c r="E147" s="8"/>
      <c r="F147" s="8"/>
      <c r="G147" s="8"/>
      <c r="H147" s="8"/>
      <c r="I147" s="8"/>
      <c r="J147" s="8"/>
      <c r="K147" s="8"/>
      <c r="L147" s="8"/>
      <c r="M147" s="8"/>
      <c r="N147" s="8"/>
      <c r="O147" s="8"/>
      <c r="P147" s="8"/>
      <c r="Q147" s="8"/>
      <c r="R147" s="8"/>
      <c r="S147" s="8"/>
      <c r="T147" s="8"/>
      <c r="U147" s="8"/>
    </row>
    <row r="148" spans="1:21" x14ac:dyDescent="0.3">
      <c r="A148" s="8"/>
      <c r="B148" s="8"/>
      <c r="C148" s="8"/>
      <c r="D148" s="8"/>
      <c r="E148" s="8"/>
      <c r="F148" s="8"/>
      <c r="G148" s="8"/>
      <c r="H148" s="8"/>
      <c r="I148" s="8"/>
      <c r="J148" s="8"/>
      <c r="K148" s="8"/>
      <c r="L148" s="8"/>
      <c r="M148" s="8"/>
      <c r="N148" s="8"/>
      <c r="O148" s="8"/>
      <c r="P148" s="8"/>
      <c r="Q148" s="8"/>
      <c r="R148" s="8"/>
      <c r="S148" s="8"/>
      <c r="T148" s="8"/>
      <c r="U148" s="8"/>
    </row>
    <row r="149" spans="1:21" x14ac:dyDescent="0.3">
      <c r="A149" s="8"/>
      <c r="B149" s="8"/>
      <c r="C149" s="8"/>
      <c r="D149" s="8"/>
      <c r="E149" s="8"/>
      <c r="F149" s="8"/>
      <c r="G149" s="8"/>
      <c r="H149" s="8"/>
      <c r="I149" s="8"/>
      <c r="J149" s="8"/>
      <c r="K149" s="8"/>
      <c r="L149" s="8"/>
      <c r="M149" s="8"/>
      <c r="N149" s="8"/>
      <c r="O149" s="8"/>
      <c r="P149" s="8"/>
      <c r="Q149" s="8"/>
      <c r="R149" s="8"/>
      <c r="S149" s="8"/>
      <c r="T149" s="8"/>
      <c r="U149" s="8"/>
    </row>
    <row r="150" spans="1:21" x14ac:dyDescent="0.3">
      <c r="A150" s="8"/>
      <c r="B150" s="8"/>
      <c r="C150" s="8"/>
      <c r="D150" s="8"/>
      <c r="E150" s="8"/>
      <c r="F150" s="8"/>
      <c r="G150" s="8"/>
      <c r="H150" s="8"/>
      <c r="I150" s="8"/>
      <c r="J150" s="8"/>
      <c r="K150" s="8"/>
      <c r="L150" s="8"/>
      <c r="M150" s="8"/>
      <c r="N150" s="8"/>
      <c r="O150" s="8"/>
      <c r="P150" s="8"/>
      <c r="Q150" s="8"/>
      <c r="R150" s="8"/>
      <c r="S150" s="8"/>
      <c r="T150" s="8"/>
      <c r="U150" s="8"/>
    </row>
    <row r="151" spans="1:21" x14ac:dyDescent="0.3">
      <c r="A151" s="8"/>
      <c r="B151" s="8"/>
      <c r="C151" s="8"/>
      <c r="D151" s="8"/>
      <c r="E151" s="8"/>
      <c r="F151" s="8"/>
      <c r="G151" s="8"/>
      <c r="H151" s="8"/>
      <c r="I151" s="8"/>
      <c r="J151" s="8"/>
      <c r="K151" s="8"/>
      <c r="L151" s="8"/>
      <c r="M151" s="8"/>
      <c r="N151" s="8"/>
      <c r="O151" s="8"/>
      <c r="P151" s="8"/>
      <c r="Q151" s="8"/>
      <c r="R151" s="8"/>
      <c r="S151" s="8"/>
      <c r="T151" s="8"/>
      <c r="U151" s="8"/>
    </row>
    <row r="152" spans="1:21" x14ac:dyDescent="0.3">
      <c r="A152" s="8"/>
      <c r="B152" s="8"/>
      <c r="C152" s="8"/>
      <c r="D152" s="8"/>
      <c r="E152" s="8"/>
      <c r="F152" s="8"/>
      <c r="G152" s="8"/>
      <c r="H152" s="8"/>
      <c r="I152" s="8"/>
      <c r="J152" s="8"/>
      <c r="K152" s="8"/>
      <c r="L152" s="8"/>
      <c r="M152" s="8"/>
      <c r="N152" s="8"/>
      <c r="O152" s="8"/>
      <c r="P152" s="8"/>
      <c r="Q152" s="8"/>
      <c r="R152" s="8"/>
      <c r="S152" s="8"/>
      <c r="T152" s="8"/>
      <c r="U152" s="8"/>
    </row>
    <row r="153" spans="1:21" x14ac:dyDescent="0.3">
      <c r="A153" s="8"/>
      <c r="B153" s="8"/>
      <c r="C153" s="8"/>
      <c r="D153" s="8"/>
      <c r="E153" s="8"/>
      <c r="F153" s="8"/>
      <c r="G153" s="8"/>
      <c r="H153" s="8"/>
      <c r="I153" s="8"/>
      <c r="J153" s="8"/>
      <c r="K153" s="8"/>
      <c r="L153" s="8"/>
      <c r="M153" s="8"/>
      <c r="N153" s="8"/>
      <c r="O153" s="8"/>
      <c r="P153" s="8"/>
      <c r="Q153" s="8"/>
      <c r="R153" s="8"/>
      <c r="S153" s="8"/>
      <c r="T153" s="8"/>
      <c r="U153" s="8"/>
    </row>
    <row r="154" spans="1:21" x14ac:dyDescent="0.3">
      <c r="A154" s="8"/>
      <c r="B154" s="8"/>
      <c r="C154" s="8"/>
      <c r="D154" s="8"/>
      <c r="E154" s="8"/>
      <c r="F154" s="8"/>
      <c r="G154" s="8"/>
      <c r="H154" s="8"/>
      <c r="I154" s="8"/>
      <c r="J154" s="8"/>
      <c r="K154" s="8"/>
      <c r="L154" s="8"/>
      <c r="M154" s="8"/>
      <c r="N154" s="8"/>
      <c r="O154" s="8"/>
      <c r="P154" s="8"/>
      <c r="Q154" s="8"/>
      <c r="R154" s="8"/>
      <c r="S154" s="8"/>
      <c r="T154" s="8"/>
      <c r="U154" s="8"/>
    </row>
    <row r="155" spans="1:21" x14ac:dyDescent="0.3">
      <c r="A155" s="8"/>
      <c r="B155" s="8"/>
      <c r="C155" s="8"/>
      <c r="D155" s="8"/>
      <c r="E155" s="8"/>
      <c r="F155" s="8"/>
      <c r="G155" s="8"/>
      <c r="H155" s="8"/>
      <c r="I155" s="8"/>
      <c r="J155" s="8"/>
      <c r="K155" s="8"/>
      <c r="L155" s="8"/>
      <c r="M155" s="8"/>
      <c r="N155" s="8"/>
      <c r="O155" s="8"/>
      <c r="P155" s="8"/>
      <c r="Q155" s="8"/>
      <c r="R155" s="8"/>
      <c r="S155" s="8"/>
      <c r="T155" s="8"/>
      <c r="U155" s="8"/>
    </row>
    <row r="156" spans="1:21" x14ac:dyDescent="0.3">
      <c r="A156" s="8"/>
      <c r="B156" s="8"/>
      <c r="C156" s="8"/>
      <c r="D156" s="8"/>
      <c r="E156" s="8"/>
      <c r="F156" s="8"/>
      <c r="G156" s="8"/>
      <c r="H156" s="8"/>
      <c r="I156" s="8"/>
      <c r="J156" s="8"/>
      <c r="K156" s="8"/>
      <c r="L156" s="8"/>
      <c r="M156" s="8"/>
      <c r="N156" s="8"/>
      <c r="O156" s="8"/>
      <c r="P156" s="8"/>
      <c r="Q156" s="8"/>
      <c r="R156" s="8"/>
      <c r="S156" s="8"/>
      <c r="T156" s="8"/>
      <c r="U156" s="8"/>
    </row>
    <row r="157" spans="1:21" x14ac:dyDescent="0.3">
      <c r="A157" s="8"/>
      <c r="B157" s="8"/>
      <c r="C157" s="8"/>
      <c r="D157" s="8"/>
      <c r="E157" s="8"/>
      <c r="F157" s="8"/>
      <c r="G157" s="8"/>
      <c r="H157" s="8"/>
      <c r="I157" s="8"/>
      <c r="J157" s="8"/>
      <c r="K157" s="8"/>
      <c r="L157" s="8"/>
      <c r="M157" s="8"/>
      <c r="N157" s="8"/>
      <c r="O157" s="8"/>
      <c r="P157" s="8"/>
      <c r="Q157" s="8"/>
      <c r="R157" s="8"/>
      <c r="S157" s="8"/>
      <c r="T157" s="8"/>
      <c r="U157" s="8"/>
    </row>
    <row r="158" spans="1:21" x14ac:dyDescent="0.3">
      <c r="A158" s="8"/>
      <c r="B158" s="8"/>
      <c r="C158" s="8"/>
      <c r="D158" s="8"/>
      <c r="E158" s="8"/>
      <c r="F158" s="8"/>
      <c r="G158" s="8"/>
      <c r="H158" s="8"/>
      <c r="I158" s="8"/>
      <c r="J158" s="8"/>
      <c r="K158" s="8"/>
      <c r="L158" s="8"/>
      <c r="M158" s="8"/>
      <c r="N158" s="8"/>
      <c r="O158" s="8"/>
      <c r="P158" s="8"/>
      <c r="Q158" s="8"/>
      <c r="R158" s="8"/>
      <c r="S158" s="8"/>
      <c r="T158" s="8"/>
      <c r="U158" s="8"/>
    </row>
    <row r="159" spans="1:21" x14ac:dyDescent="0.3">
      <c r="A159" s="8"/>
      <c r="B159" s="8"/>
      <c r="C159" s="8"/>
      <c r="D159" s="8"/>
      <c r="E159" s="8"/>
      <c r="F159" s="8"/>
      <c r="G159" s="8"/>
      <c r="H159" s="8"/>
      <c r="I159" s="8"/>
      <c r="J159" s="8"/>
      <c r="K159" s="8"/>
      <c r="L159" s="8"/>
      <c r="M159" s="8"/>
      <c r="N159" s="8"/>
      <c r="O159" s="8"/>
      <c r="P159" s="8"/>
      <c r="Q159" s="8"/>
      <c r="R159" s="8"/>
      <c r="S159" s="8"/>
      <c r="T159" s="8"/>
      <c r="U159" s="8"/>
    </row>
    <row r="160" spans="1:21" x14ac:dyDescent="0.3">
      <c r="A160" s="8"/>
      <c r="B160" s="8"/>
      <c r="C160" s="8"/>
      <c r="D160" s="8"/>
      <c r="E160" s="8"/>
      <c r="F160" s="8"/>
      <c r="G160" s="8"/>
      <c r="H160" s="8"/>
      <c r="I160" s="8"/>
      <c r="J160" s="8"/>
      <c r="K160" s="8"/>
      <c r="L160" s="8"/>
      <c r="M160" s="8"/>
      <c r="N160" s="8"/>
      <c r="O160" s="8"/>
      <c r="P160" s="8"/>
      <c r="Q160" s="8"/>
      <c r="R160" s="8"/>
      <c r="S160" s="8"/>
      <c r="T160" s="8"/>
      <c r="U160" s="8"/>
    </row>
    <row r="161" spans="1:21" x14ac:dyDescent="0.3">
      <c r="A161" s="8"/>
      <c r="B161" s="8"/>
      <c r="C161" s="8"/>
      <c r="D161" s="8"/>
      <c r="E161" s="8"/>
      <c r="F161" s="8"/>
      <c r="G161" s="8"/>
      <c r="H161" s="8"/>
      <c r="I161" s="8"/>
      <c r="J161" s="8"/>
      <c r="K161" s="8"/>
      <c r="L161" s="8"/>
      <c r="M161" s="8"/>
      <c r="N161" s="8"/>
      <c r="O161" s="8"/>
      <c r="P161" s="8"/>
      <c r="Q161" s="8"/>
      <c r="R161" s="8"/>
      <c r="S161" s="8"/>
      <c r="T161" s="8"/>
      <c r="U161" s="8"/>
    </row>
    <row r="162" spans="1:21" x14ac:dyDescent="0.3">
      <c r="A162" s="8"/>
      <c r="B162" s="8"/>
      <c r="C162" s="8"/>
      <c r="D162" s="8"/>
      <c r="E162" s="8"/>
      <c r="F162" s="8"/>
      <c r="G162" s="8"/>
      <c r="H162" s="8"/>
      <c r="I162" s="8"/>
      <c r="J162" s="8"/>
      <c r="K162" s="8"/>
      <c r="L162" s="8"/>
      <c r="M162" s="8"/>
      <c r="N162" s="8"/>
      <c r="O162" s="8"/>
      <c r="P162" s="8"/>
      <c r="Q162" s="8"/>
      <c r="R162" s="8"/>
      <c r="S162" s="8"/>
      <c r="T162" s="8"/>
      <c r="U162" s="8"/>
    </row>
    <row r="163" spans="1:21" x14ac:dyDescent="0.3">
      <c r="A163" s="8"/>
      <c r="B163" s="8"/>
      <c r="C163" s="8"/>
      <c r="D163" s="8"/>
      <c r="E163" s="8"/>
      <c r="F163" s="8"/>
      <c r="G163" s="8"/>
      <c r="H163" s="8"/>
      <c r="I163" s="8"/>
      <c r="J163" s="8"/>
      <c r="K163" s="8"/>
      <c r="L163" s="8"/>
      <c r="M163" s="8"/>
      <c r="N163" s="8"/>
      <c r="O163" s="8"/>
      <c r="P163" s="8"/>
      <c r="Q163" s="8"/>
      <c r="R163" s="8"/>
      <c r="S163" s="8"/>
      <c r="T163" s="8"/>
      <c r="U163" s="8"/>
    </row>
    <row r="164" spans="1:21" x14ac:dyDescent="0.3">
      <c r="A164" s="8"/>
      <c r="B164" s="8"/>
      <c r="C164" s="8"/>
      <c r="D164" s="8"/>
      <c r="E164" s="8"/>
      <c r="F164" s="8"/>
      <c r="G164" s="8"/>
      <c r="H164" s="8"/>
      <c r="I164" s="8"/>
      <c r="J164" s="8"/>
      <c r="K164" s="8"/>
      <c r="L164" s="8"/>
      <c r="M164" s="8"/>
      <c r="N164" s="8"/>
      <c r="O164" s="8"/>
      <c r="P164" s="8"/>
      <c r="Q164" s="8"/>
      <c r="R164" s="8"/>
      <c r="S164" s="8"/>
      <c r="T164" s="8"/>
      <c r="U164" s="8"/>
    </row>
    <row r="165" spans="1:21" x14ac:dyDescent="0.3">
      <c r="A165" s="8"/>
      <c r="B165" s="8"/>
      <c r="C165" s="8"/>
      <c r="D165" s="8"/>
      <c r="E165" s="8"/>
      <c r="F165" s="8"/>
      <c r="G165" s="8"/>
      <c r="H165" s="8"/>
      <c r="I165" s="8"/>
      <c r="J165" s="8"/>
      <c r="K165" s="8"/>
      <c r="L165" s="8"/>
      <c r="M165" s="8"/>
      <c r="N165" s="8"/>
      <c r="O165" s="8"/>
      <c r="P165" s="8"/>
      <c r="Q165" s="8"/>
      <c r="R165" s="8"/>
      <c r="S165" s="8"/>
      <c r="T165" s="8"/>
      <c r="U165" s="8"/>
    </row>
    <row r="166" spans="1:21" x14ac:dyDescent="0.3">
      <c r="A166" s="8"/>
      <c r="B166" s="8"/>
      <c r="C166" s="8"/>
      <c r="D166" s="8"/>
      <c r="E166" s="8"/>
      <c r="F166" s="8"/>
      <c r="G166" s="8"/>
      <c r="H166" s="8"/>
      <c r="I166" s="8"/>
      <c r="J166" s="8"/>
      <c r="K166" s="8"/>
      <c r="L166" s="8"/>
      <c r="M166" s="8"/>
      <c r="N166" s="8"/>
      <c r="O166" s="8"/>
      <c r="P166" s="8"/>
      <c r="Q166" s="8"/>
      <c r="R166" s="8"/>
      <c r="S166" s="8"/>
      <c r="T166" s="8"/>
      <c r="U166" s="8"/>
    </row>
    <row r="167" spans="1:21" x14ac:dyDescent="0.3">
      <c r="A167" s="8"/>
      <c r="B167" s="8"/>
      <c r="C167" s="8"/>
      <c r="D167" s="8"/>
      <c r="E167" s="8"/>
      <c r="F167" s="8"/>
      <c r="G167" s="8"/>
      <c r="H167" s="8"/>
      <c r="I167" s="8"/>
      <c r="J167" s="8"/>
      <c r="K167" s="8"/>
      <c r="L167" s="8"/>
      <c r="M167" s="8"/>
      <c r="N167" s="8"/>
      <c r="O167" s="8"/>
      <c r="P167" s="8"/>
      <c r="Q167" s="8"/>
      <c r="R167" s="8"/>
      <c r="S167" s="8"/>
      <c r="T167" s="8"/>
      <c r="U167" s="8"/>
    </row>
    <row r="168" spans="1:21" x14ac:dyDescent="0.3">
      <c r="A168" s="8"/>
      <c r="B168" s="8"/>
      <c r="C168" s="8"/>
      <c r="D168" s="8"/>
      <c r="E168" s="8"/>
      <c r="F168" s="8"/>
      <c r="G168" s="8"/>
      <c r="H168" s="8"/>
      <c r="I168" s="8"/>
      <c r="J168" s="8"/>
      <c r="K168" s="8"/>
      <c r="L168" s="8"/>
      <c r="M168" s="8"/>
      <c r="N168" s="8"/>
      <c r="O168" s="8"/>
      <c r="P168" s="8"/>
      <c r="Q168" s="8"/>
      <c r="R168" s="8"/>
      <c r="S168" s="8"/>
      <c r="T168" s="8"/>
      <c r="U168" s="8"/>
    </row>
    <row r="169" spans="1:21" x14ac:dyDescent="0.3">
      <c r="A169" s="8"/>
      <c r="B169" s="8"/>
      <c r="C169" s="8"/>
      <c r="D169" s="8"/>
      <c r="E169" s="8"/>
      <c r="F169" s="8"/>
      <c r="G169" s="8"/>
      <c r="H169" s="8"/>
      <c r="I169" s="8"/>
      <c r="J169" s="8"/>
      <c r="K169" s="8"/>
      <c r="L169" s="8"/>
      <c r="M169" s="8"/>
      <c r="N169" s="8"/>
      <c r="O169" s="8"/>
      <c r="P169" s="8"/>
      <c r="Q169" s="8"/>
      <c r="R169" s="8"/>
      <c r="S169" s="8"/>
      <c r="T169" s="8"/>
      <c r="U169" s="8"/>
    </row>
    <row r="170" spans="1:21" x14ac:dyDescent="0.3">
      <c r="A170" s="8"/>
      <c r="B170" s="8"/>
      <c r="C170" s="8"/>
      <c r="D170" s="8"/>
      <c r="E170" s="8"/>
      <c r="F170" s="8"/>
      <c r="G170" s="8"/>
      <c r="H170" s="8"/>
      <c r="I170" s="8"/>
      <c r="J170" s="8"/>
      <c r="K170" s="8"/>
      <c r="L170" s="8"/>
      <c r="M170" s="8"/>
      <c r="N170" s="8"/>
      <c r="O170" s="8"/>
      <c r="P170" s="8"/>
      <c r="Q170" s="8"/>
      <c r="R170" s="8"/>
      <c r="S170" s="8"/>
      <c r="T170" s="8"/>
      <c r="U170" s="8"/>
    </row>
    <row r="171" spans="1:21" x14ac:dyDescent="0.3">
      <c r="A171" s="8"/>
      <c r="B171" s="8"/>
      <c r="C171" s="8"/>
      <c r="D171" s="8"/>
      <c r="E171" s="8"/>
      <c r="F171" s="8"/>
      <c r="G171" s="8"/>
      <c r="H171" s="8"/>
      <c r="I171" s="8"/>
      <c r="J171" s="8"/>
      <c r="K171" s="8"/>
      <c r="L171" s="8"/>
      <c r="M171" s="8"/>
      <c r="N171" s="8"/>
      <c r="O171" s="8"/>
      <c r="P171" s="8"/>
      <c r="Q171" s="8"/>
      <c r="R171" s="8"/>
      <c r="S171" s="8"/>
      <c r="T171" s="8"/>
      <c r="U171" s="8"/>
    </row>
    <row r="172" spans="1:21" x14ac:dyDescent="0.3">
      <c r="A172" s="8"/>
      <c r="B172" s="8"/>
      <c r="C172" s="8"/>
      <c r="D172" s="8"/>
      <c r="E172" s="8"/>
      <c r="F172" s="8"/>
      <c r="G172" s="8"/>
      <c r="H172" s="8"/>
      <c r="I172" s="8"/>
      <c r="J172" s="8"/>
      <c r="K172" s="8"/>
      <c r="L172" s="8"/>
      <c r="M172" s="8"/>
      <c r="N172" s="8"/>
      <c r="O172" s="8"/>
      <c r="P172" s="8"/>
      <c r="Q172" s="8"/>
      <c r="R172" s="8"/>
      <c r="S172" s="8"/>
      <c r="T172" s="8"/>
      <c r="U172" s="8"/>
    </row>
    <row r="173" spans="1:21" x14ac:dyDescent="0.3">
      <c r="A173" s="8"/>
      <c r="B173" s="8"/>
      <c r="C173" s="8"/>
      <c r="D173" s="8"/>
      <c r="E173" s="8"/>
      <c r="F173" s="8"/>
      <c r="G173" s="8"/>
      <c r="H173" s="8"/>
      <c r="I173" s="8"/>
      <c r="J173" s="8"/>
      <c r="K173" s="8"/>
      <c r="L173" s="8"/>
      <c r="M173" s="8"/>
      <c r="N173" s="8"/>
      <c r="O173" s="8"/>
      <c r="P173" s="8"/>
      <c r="Q173" s="8"/>
      <c r="R173" s="8"/>
      <c r="S173" s="8"/>
      <c r="T173" s="8"/>
      <c r="U173" s="8"/>
    </row>
    <row r="174" spans="1:21" x14ac:dyDescent="0.3">
      <c r="A174" s="8"/>
      <c r="B174" s="8"/>
      <c r="C174" s="8"/>
      <c r="D174" s="8"/>
      <c r="E174" s="8"/>
      <c r="F174" s="8"/>
      <c r="G174" s="8"/>
      <c r="H174" s="8"/>
      <c r="I174" s="8"/>
      <c r="J174" s="8"/>
      <c r="K174" s="8"/>
      <c r="L174" s="8"/>
      <c r="M174" s="8"/>
      <c r="N174" s="8"/>
      <c r="O174" s="8"/>
      <c r="P174" s="8"/>
      <c r="Q174" s="8"/>
      <c r="R174" s="8"/>
      <c r="S174" s="8"/>
      <c r="T174" s="8"/>
      <c r="U174" s="8"/>
    </row>
    <row r="175" spans="1:21" x14ac:dyDescent="0.3">
      <c r="A175" s="8"/>
      <c r="B175" s="8"/>
      <c r="C175" s="8"/>
      <c r="D175" s="8"/>
      <c r="E175" s="8"/>
      <c r="F175" s="8"/>
      <c r="G175" s="8"/>
      <c r="H175" s="8"/>
      <c r="I175" s="8"/>
      <c r="J175" s="8"/>
      <c r="K175" s="8"/>
      <c r="L175" s="8"/>
      <c r="M175" s="8"/>
      <c r="N175" s="8"/>
      <c r="O175" s="8"/>
      <c r="P175" s="8"/>
      <c r="Q175" s="8"/>
      <c r="R175" s="8"/>
      <c r="S175" s="8"/>
      <c r="T175" s="8"/>
      <c r="U175" s="8"/>
    </row>
    <row r="176" spans="1:21" x14ac:dyDescent="0.3">
      <c r="A176" s="8"/>
      <c r="B176" s="8"/>
      <c r="C176" s="8"/>
      <c r="D176" s="8"/>
      <c r="E176" s="8"/>
      <c r="F176" s="8"/>
      <c r="G176" s="8"/>
      <c r="H176" s="8"/>
      <c r="I176" s="8"/>
      <c r="J176" s="8"/>
      <c r="K176" s="8"/>
      <c r="L176" s="8"/>
      <c r="M176" s="8"/>
      <c r="N176" s="8"/>
      <c r="O176" s="8"/>
      <c r="P176" s="8"/>
      <c r="Q176" s="8"/>
      <c r="R176" s="8"/>
      <c r="S176" s="8"/>
      <c r="T176" s="8"/>
      <c r="U176" s="8"/>
    </row>
    <row r="177" spans="1:21" x14ac:dyDescent="0.3">
      <c r="A177" s="8"/>
      <c r="B177" s="8"/>
      <c r="C177" s="8"/>
      <c r="D177" s="8"/>
      <c r="E177" s="8"/>
      <c r="F177" s="8"/>
      <c r="G177" s="8"/>
      <c r="H177" s="8"/>
      <c r="I177" s="8"/>
      <c r="J177" s="8"/>
      <c r="K177" s="8"/>
      <c r="L177" s="8"/>
      <c r="M177" s="8"/>
      <c r="N177" s="8"/>
      <c r="O177" s="8"/>
      <c r="P177" s="8"/>
      <c r="Q177" s="8"/>
      <c r="R177" s="8"/>
      <c r="S177" s="8"/>
      <c r="T177" s="8"/>
      <c r="U177" s="8"/>
    </row>
    <row r="178" spans="1:21" x14ac:dyDescent="0.3">
      <c r="A178" s="8"/>
      <c r="B178" s="8"/>
      <c r="C178" s="8"/>
      <c r="D178" s="8"/>
      <c r="E178" s="8"/>
      <c r="F178" s="8"/>
      <c r="G178" s="8"/>
      <c r="H178" s="8"/>
      <c r="I178" s="8"/>
      <c r="J178" s="8"/>
      <c r="K178" s="8"/>
      <c r="L178" s="8"/>
      <c r="M178" s="8"/>
      <c r="N178" s="8"/>
      <c r="O178" s="8"/>
      <c r="P178" s="8"/>
      <c r="Q178" s="8"/>
      <c r="R178" s="8"/>
      <c r="S178" s="8"/>
      <c r="T178" s="8"/>
      <c r="U178" s="8"/>
    </row>
    <row r="179" spans="1:21" x14ac:dyDescent="0.3">
      <c r="A179" s="8"/>
      <c r="B179" s="8"/>
      <c r="C179" s="8"/>
      <c r="D179" s="8"/>
      <c r="E179" s="8"/>
      <c r="F179" s="8"/>
      <c r="G179" s="8"/>
      <c r="H179" s="8"/>
      <c r="I179" s="8"/>
      <c r="J179" s="8"/>
      <c r="K179" s="8"/>
      <c r="L179" s="8"/>
      <c r="M179" s="8"/>
      <c r="N179" s="8"/>
      <c r="O179" s="8"/>
      <c r="P179" s="8"/>
      <c r="Q179" s="8"/>
      <c r="R179" s="8"/>
      <c r="S179" s="8"/>
      <c r="T179" s="8"/>
      <c r="U179" s="8"/>
    </row>
    <row r="180" spans="1:21" x14ac:dyDescent="0.3">
      <c r="A180" s="8"/>
      <c r="B180" s="8"/>
      <c r="C180" s="8"/>
      <c r="D180" s="8"/>
      <c r="E180" s="8"/>
      <c r="F180" s="8"/>
      <c r="G180" s="8"/>
      <c r="H180" s="8"/>
      <c r="I180" s="8"/>
      <c r="J180" s="8"/>
      <c r="K180" s="8"/>
      <c r="L180" s="8"/>
      <c r="M180" s="8"/>
      <c r="N180" s="8"/>
      <c r="O180" s="8"/>
      <c r="P180" s="8"/>
      <c r="Q180" s="8"/>
      <c r="R180" s="8"/>
      <c r="S180" s="8"/>
      <c r="T180" s="8"/>
      <c r="U180" s="8"/>
    </row>
    <row r="181" spans="1:21" x14ac:dyDescent="0.3">
      <c r="A181" s="8"/>
      <c r="B181" s="8"/>
      <c r="C181" s="8"/>
      <c r="D181" s="8"/>
      <c r="E181" s="8"/>
      <c r="F181" s="8"/>
      <c r="G181" s="8"/>
      <c r="H181" s="8"/>
      <c r="I181" s="8"/>
      <c r="J181" s="8"/>
      <c r="K181" s="8"/>
      <c r="L181" s="8"/>
      <c r="M181" s="8"/>
      <c r="N181" s="8"/>
      <c r="O181" s="8"/>
      <c r="P181" s="8"/>
      <c r="Q181" s="8"/>
      <c r="R181" s="8"/>
      <c r="S181" s="8"/>
      <c r="T181" s="8"/>
      <c r="U181" s="8"/>
    </row>
    <row r="182" spans="1:21" x14ac:dyDescent="0.3">
      <c r="A182" s="8"/>
      <c r="B182" s="8"/>
      <c r="C182" s="8"/>
      <c r="D182" s="8"/>
      <c r="E182" s="8"/>
      <c r="F182" s="8"/>
      <c r="G182" s="8"/>
      <c r="H182" s="8"/>
      <c r="I182" s="8"/>
      <c r="J182" s="8"/>
      <c r="K182" s="8"/>
      <c r="L182" s="8"/>
      <c r="M182" s="8"/>
      <c r="N182" s="8"/>
      <c r="O182" s="8"/>
      <c r="P182" s="8"/>
      <c r="Q182" s="8"/>
      <c r="R182" s="8"/>
      <c r="S182" s="8"/>
      <c r="T182" s="8"/>
      <c r="U182" s="8"/>
    </row>
    <row r="183" spans="1:21" x14ac:dyDescent="0.3">
      <c r="A183" s="8"/>
      <c r="B183" s="8"/>
      <c r="C183" s="8"/>
      <c r="D183" s="8"/>
      <c r="E183" s="8"/>
      <c r="F183" s="8"/>
      <c r="G183" s="8"/>
      <c r="H183" s="8"/>
      <c r="I183" s="8"/>
      <c r="J183" s="8"/>
      <c r="K183" s="8"/>
      <c r="L183" s="8"/>
      <c r="M183" s="8"/>
      <c r="N183" s="8"/>
      <c r="O183" s="8"/>
      <c r="P183" s="8"/>
      <c r="Q183" s="8"/>
      <c r="R183" s="8"/>
      <c r="S183" s="8"/>
      <c r="T183" s="8"/>
      <c r="U183" s="8"/>
    </row>
    <row r="184" spans="1:21" x14ac:dyDescent="0.3">
      <c r="A184" s="8"/>
      <c r="B184" s="8"/>
      <c r="C184" s="8"/>
      <c r="D184" s="8"/>
      <c r="E184" s="8"/>
      <c r="F184" s="8"/>
      <c r="G184" s="8"/>
      <c r="H184" s="8"/>
      <c r="I184" s="8"/>
      <c r="J184" s="8"/>
      <c r="K184" s="8"/>
      <c r="L184" s="8"/>
      <c r="M184" s="8"/>
      <c r="N184" s="8"/>
      <c r="O184" s="8"/>
      <c r="P184" s="8"/>
      <c r="Q184" s="8"/>
      <c r="R184" s="8"/>
      <c r="S184" s="8"/>
      <c r="T184" s="8"/>
      <c r="U184" s="8"/>
    </row>
    <row r="185" spans="1:21" x14ac:dyDescent="0.3">
      <c r="A185" s="8"/>
      <c r="B185" s="8"/>
      <c r="C185" s="8"/>
      <c r="D185" s="8"/>
      <c r="E185" s="8"/>
      <c r="F185" s="8"/>
      <c r="G185" s="8"/>
      <c r="H185" s="8"/>
      <c r="I185" s="8"/>
      <c r="J185" s="8"/>
      <c r="K185" s="8"/>
      <c r="L185" s="8"/>
      <c r="M185" s="8"/>
      <c r="N185" s="8"/>
      <c r="O185" s="8"/>
      <c r="P185" s="8"/>
      <c r="Q185" s="8"/>
      <c r="R185" s="8"/>
      <c r="S185" s="8"/>
      <c r="T185" s="8"/>
      <c r="U185" s="8"/>
    </row>
    <row r="186" spans="1:21" x14ac:dyDescent="0.3">
      <c r="A186" s="8"/>
      <c r="B186" s="8"/>
      <c r="C186" s="8"/>
      <c r="D186" s="8"/>
      <c r="E186" s="8"/>
      <c r="F186" s="8"/>
      <c r="G186" s="8"/>
      <c r="H186" s="8"/>
      <c r="I186" s="8"/>
      <c r="J186" s="8"/>
      <c r="K186" s="8"/>
      <c r="L186" s="8"/>
      <c r="M186" s="8"/>
      <c r="N186" s="8"/>
      <c r="O186" s="8"/>
      <c r="P186" s="8"/>
      <c r="Q186" s="8"/>
      <c r="R186" s="8"/>
      <c r="S186" s="8"/>
      <c r="T186" s="8"/>
      <c r="U186" s="8"/>
    </row>
    <row r="187" spans="1:21" x14ac:dyDescent="0.3">
      <c r="A187" s="8"/>
      <c r="B187" s="8"/>
      <c r="C187" s="8"/>
      <c r="D187" s="8"/>
      <c r="E187" s="8"/>
      <c r="F187" s="8"/>
      <c r="G187" s="8"/>
      <c r="H187" s="8"/>
      <c r="I187" s="8"/>
      <c r="J187" s="8"/>
      <c r="K187" s="8"/>
      <c r="L187" s="8"/>
      <c r="M187" s="8"/>
      <c r="N187" s="8"/>
      <c r="O187" s="8"/>
      <c r="P187" s="8"/>
      <c r="Q187" s="8"/>
      <c r="R187" s="8"/>
      <c r="S187" s="8"/>
      <c r="T187" s="8"/>
      <c r="U187" s="8"/>
    </row>
    <row r="188" spans="1:21" x14ac:dyDescent="0.3">
      <c r="A188" s="8"/>
      <c r="B188" s="8"/>
      <c r="C188" s="8"/>
      <c r="D188" s="8"/>
      <c r="E188" s="8"/>
      <c r="F188" s="8"/>
      <c r="G188" s="8"/>
      <c r="H188" s="8"/>
      <c r="I188" s="8"/>
      <c r="J188" s="8"/>
      <c r="K188" s="8"/>
      <c r="L188" s="8"/>
      <c r="M188" s="8"/>
      <c r="N188" s="8"/>
      <c r="O188" s="8"/>
      <c r="P188" s="8"/>
      <c r="Q188" s="8"/>
      <c r="R188" s="8"/>
      <c r="S188" s="8"/>
      <c r="T188" s="8"/>
      <c r="U188" s="8"/>
    </row>
    <row r="189" spans="1:21" x14ac:dyDescent="0.3">
      <c r="A189" s="8"/>
      <c r="B189" s="8"/>
      <c r="C189" s="8"/>
      <c r="D189" s="8"/>
      <c r="E189" s="8"/>
      <c r="F189" s="8"/>
      <c r="G189" s="8"/>
      <c r="H189" s="8"/>
      <c r="I189" s="8"/>
      <c r="J189" s="8"/>
      <c r="K189" s="8"/>
      <c r="L189" s="8"/>
      <c r="M189" s="8"/>
      <c r="N189" s="8"/>
      <c r="O189" s="8"/>
      <c r="P189" s="8"/>
      <c r="Q189" s="8"/>
      <c r="R189" s="8"/>
      <c r="S189" s="8"/>
      <c r="T189" s="8"/>
      <c r="U189" s="8"/>
    </row>
    <row r="190" spans="1:21" x14ac:dyDescent="0.3">
      <c r="A190" s="8"/>
      <c r="B190" s="8"/>
      <c r="C190" s="8"/>
      <c r="D190" s="8"/>
      <c r="E190" s="8"/>
      <c r="F190" s="8"/>
      <c r="G190" s="8"/>
      <c r="H190" s="8"/>
      <c r="I190" s="8"/>
      <c r="J190" s="8"/>
      <c r="K190" s="8"/>
      <c r="L190" s="8"/>
      <c r="M190" s="8"/>
      <c r="N190" s="8"/>
      <c r="O190" s="8"/>
      <c r="P190" s="8"/>
      <c r="Q190" s="8"/>
      <c r="R190" s="8"/>
      <c r="S190" s="8"/>
      <c r="T190" s="8"/>
      <c r="U190" s="8"/>
    </row>
    <row r="191" spans="1:21" x14ac:dyDescent="0.3">
      <c r="A191" s="8"/>
      <c r="B191" s="8"/>
      <c r="C191" s="8"/>
      <c r="D191" s="8"/>
      <c r="E191" s="8"/>
      <c r="F191" s="8"/>
      <c r="G191" s="8"/>
      <c r="H191" s="8"/>
      <c r="I191" s="8"/>
      <c r="J191" s="8"/>
      <c r="K191" s="8"/>
      <c r="L191" s="8"/>
      <c r="M191" s="8"/>
      <c r="N191" s="8"/>
      <c r="O191" s="8"/>
      <c r="P191" s="8"/>
      <c r="Q191" s="8"/>
      <c r="R191" s="8"/>
      <c r="S191" s="8"/>
      <c r="T191" s="8"/>
      <c r="U191" s="8"/>
    </row>
    <row r="192" spans="1:21" x14ac:dyDescent="0.3">
      <c r="A192" s="8"/>
      <c r="B192" s="8"/>
      <c r="C192" s="8"/>
      <c r="D192" s="8"/>
      <c r="E192" s="8"/>
      <c r="F192" s="8"/>
      <c r="G192" s="8"/>
      <c r="H192" s="8"/>
      <c r="I192" s="8"/>
      <c r="J192" s="8"/>
      <c r="K192" s="8"/>
      <c r="L192" s="8"/>
      <c r="M192" s="8"/>
      <c r="N192" s="8"/>
      <c r="O192" s="8"/>
      <c r="P192" s="8"/>
      <c r="Q192" s="8"/>
      <c r="R192" s="8"/>
      <c r="S192" s="8"/>
      <c r="T192" s="8"/>
      <c r="U192" s="8"/>
    </row>
    <row r="193" spans="1:21" x14ac:dyDescent="0.3">
      <c r="A193" s="8"/>
      <c r="B193" s="8"/>
      <c r="C193" s="8"/>
      <c r="D193" s="8"/>
      <c r="E193" s="8"/>
      <c r="F193" s="8"/>
      <c r="G193" s="8"/>
      <c r="H193" s="8"/>
      <c r="I193" s="8"/>
      <c r="J193" s="8"/>
      <c r="K193" s="8"/>
      <c r="L193" s="8"/>
      <c r="M193" s="8"/>
      <c r="N193" s="8"/>
      <c r="O193" s="8"/>
      <c r="P193" s="8"/>
      <c r="Q193" s="8"/>
      <c r="R193" s="8"/>
      <c r="S193" s="8"/>
      <c r="T193" s="8"/>
      <c r="U193" s="8"/>
    </row>
    <row r="194" spans="1:21" x14ac:dyDescent="0.3">
      <c r="A194" s="8"/>
      <c r="B194" s="8"/>
      <c r="C194" s="8"/>
      <c r="D194" s="8"/>
      <c r="E194" s="8"/>
      <c r="F194" s="8"/>
      <c r="G194" s="8"/>
      <c r="H194" s="8"/>
      <c r="I194" s="8"/>
      <c r="J194" s="8"/>
      <c r="K194" s="8"/>
      <c r="L194" s="8"/>
      <c r="M194" s="8"/>
      <c r="N194" s="8"/>
      <c r="O194" s="8"/>
      <c r="P194" s="8"/>
      <c r="Q194" s="8"/>
      <c r="R194" s="8"/>
      <c r="S194" s="8"/>
      <c r="T194" s="8"/>
      <c r="U194" s="8"/>
    </row>
    <row r="195" spans="1:21" x14ac:dyDescent="0.3">
      <c r="A195" s="8"/>
      <c r="B195" s="8"/>
      <c r="C195" s="8"/>
      <c r="D195" s="8"/>
      <c r="E195" s="8"/>
      <c r="F195" s="8"/>
      <c r="G195" s="8"/>
      <c r="H195" s="8"/>
      <c r="I195" s="8"/>
      <c r="J195" s="8"/>
      <c r="K195" s="8"/>
      <c r="L195" s="8"/>
      <c r="M195" s="8"/>
      <c r="N195" s="8"/>
      <c r="O195" s="8"/>
      <c r="P195" s="8"/>
      <c r="Q195" s="8"/>
      <c r="R195" s="8"/>
      <c r="S195" s="8"/>
      <c r="T195" s="8"/>
      <c r="U195" s="8"/>
    </row>
    <row r="196" spans="1:21" x14ac:dyDescent="0.3">
      <c r="A196" s="8"/>
      <c r="B196" s="8"/>
      <c r="C196" s="8"/>
      <c r="D196" s="8"/>
      <c r="E196" s="8"/>
      <c r="F196" s="8"/>
      <c r="G196" s="8"/>
      <c r="H196" s="8"/>
      <c r="I196" s="8"/>
      <c r="J196" s="8"/>
      <c r="K196" s="8"/>
      <c r="L196" s="8"/>
      <c r="M196" s="8"/>
      <c r="N196" s="8"/>
      <c r="O196" s="8"/>
      <c r="P196" s="8"/>
      <c r="Q196" s="8"/>
      <c r="R196" s="8"/>
      <c r="S196" s="8"/>
      <c r="T196" s="8"/>
      <c r="U196" s="8"/>
    </row>
    <row r="197" spans="1:21" x14ac:dyDescent="0.3">
      <c r="A197" s="8"/>
      <c r="B197" s="8"/>
      <c r="C197" s="8"/>
      <c r="D197" s="8"/>
      <c r="E197" s="8"/>
      <c r="F197" s="8"/>
      <c r="G197" s="8"/>
      <c r="H197" s="8"/>
      <c r="I197" s="8"/>
      <c r="J197" s="8"/>
      <c r="K197" s="8"/>
      <c r="L197" s="8"/>
      <c r="M197" s="8"/>
      <c r="N197" s="8"/>
      <c r="O197" s="8"/>
      <c r="P197" s="8"/>
      <c r="Q197" s="8"/>
      <c r="R197" s="8"/>
      <c r="S197" s="8"/>
      <c r="T197" s="8"/>
      <c r="U197" s="8"/>
    </row>
    <row r="198" spans="1:21" x14ac:dyDescent="0.3">
      <c r="A198" s="8"/>
      <c r="B198" s="8"/>
      <c r="C198" s="8"/>
      <c r="D198" s="8"/>
      <c r="E198" s="8"/>
      <c r="F198" s="8"/>
      <c r="G198" s="8"/>
      <c r="H198" s="8"/>
      <c r="I198" s="8"/>
      <c r="J198" s="8"/>
      <c r="K198" s="8"/>
      <c r="L198" s="8"/>
      <c r="M198" s="8"/>
      <c r="N198" s="8"/>
      <c r="O198" s="8"/>
      <c r="P198" s="8"/>
      <c r="Q198" s="8"/>
      <c r="R198" s="8"/>
      <c r="S198" s="8"/>
      <c r="T198" s="8"/>
      <c r="U198" s="8"/>
    </row>
    <row r="199" spans="1:21" x14ac:dyDescent="0.3">
      <c r="A199" s="8"/>
      <c r="B199" s="8"/>
      <c r="C199" s="8"/>
      <c r="D199" s="8"/>
      <c r="E199" s="8"/>
      <c r="F199" s="8"/>
      <c r="G199" s="8"/>
      <c r="H199" s="8"/>
      <c r="I199" s="8"/>
      <c r="J199" s="8"/>
      <c r="K199" s="8"/>
      <c r="L199" s="8"/>
      <c r="M199" s="8"/>
      <c r="N199" s="8"/>
      <c r="O199" s="8"/>
      <c r="P199" s="8"/>
      <c r="Q199" s="8"/>
      <c r="R199" s="8"/>
      <c r="S199" s="8"/>
      <c r="T199" s="8"/>
      <c r="U199" s="8"/>
    </row>
    <row r="200" spans="1:21" x14ac:dyDescent="0.3">
      <c r="A200" s="8"/>
      <c r="B200" s="8"/>
      <c r="C200" s="8"/>
      <c r="D200" s="8"/>
      <c r="E200" s="8"/>
      <c r="F200" s="8"/>
      <c r="G200" s="8"/>
      <c r="H200" s="8"/>
      <c r="I200" s="8"/>
      <c r="J200" s="8"/>
      <c r="K200" s="8"/>
      <c r="L200" s="8"/>
      <c r="M200" s="8"/>
      <c r="N200" s="8"/>
      <c r="O200" s="8"/>
      <c r="P200" s="8"/>
      <c r="Q200" s="8"/>
      <c r="R200" s="8"/>
      <c r="S200" s="8"/>
      <c r="T200" s="8"/>
      <c r="U200" s="8"/>
    </row>
    <row r="201" spans="1:21" x14ac:dyDescent="0.3">
      <c r="A201" s="8"/>
      <c r="B201" s="8"/>
      <c r="C201" s="8"/>
      <c r="D201" s="8"/>
      <c r="E201" s="8"/>
      <c r="F201" s="8"/>
      <c r="G201" s="8"/>
      <c r="H201" s="8"/>
      <c r="I201" s="8"/>
      <c r="J201" s="8"/>
      <c r="K201" s="8"/>
      <c r="L201" s="8"/>
      <c r="M201" s="8"/>
      <c r="N201" s="8"/>
      <c r="O201" s="8"/>
      <c r="P201" s="8"/>
      <c r="Q201" s="8"/>
      <c r="R201" s="8"/>
      <c r="S201" s="8"/>
      <c r="T201" s="8"/>
      <c r="U201" s="8"/>
    </row>
    <row r="202" spans="1:21" x14ac:dyDescent="0.3">
      <c r="A202" s="8"/>
      <c r="B202" s="8"/>
      <c r="C202" s="8"/>
      <c r="D202" s="8"/>
      <c r="E202" s="8"/>
      <c r="F202" s="8"/>
      <c r="G202" s="8"/>
      <c r="H202" s="8"/>
      <c r="I202" s="8"/>
      <c r="J202" s="8"/>
      <c r="K202" s="8"/>
      <c r="L202" s="8"/>
      <c r="M202" s="8"/>
      <c r="N202" s="8"/>
      <c r="O202" s="8"/>
      <c r="P202" s="8"/>
      <c r="Q202" s="8"/>
      <c r="R202" s="8"/>
      <c r="S202" s="8"/>
      <c r="T202" s="8"/>
      <c r="U202" s="8"/>
    </row>
    <row r="203" spans="1:21" x14ac:dyDescent="0.3">
      <c r="A203" s="8"/>
      <c r="B203" s="8"/>
      <c r="C203" s="8"/>
      <c r="D203" s="8"/>
      <c r="E203" s="8"/>
      <c r="F203" s="8"/>
      <c r="G203" s="8"/>
      <c r="H203" s="8"/>
      <c r="I203" s="8"/>
      <c r="J203" s="8"/>
      <c r="K203" s="8"/>
      <c r="L203" s="8"/>
      <c r="M203" s="8"/>
      <c r="N203" s="8"/>
      <c r="O203" s="8"/>
      <c r="P203" s="8"/>
      <c r="Q203" s="8"/>
      <c r="R203" s="8"/>
      <c r="S203" s="8"/>
      <c r="T203" s="8"/>
      <c r="U203" s="8"/>
    </row>
    <row r="204" spans="1:21" x14ac:dyDescent="0.3">
      <c r="A204" s="8"/>
      <c r="B204" s="8"/>
      <c r="C204" s="8"/>
      <c r="D204" s="8"/>
      <c r="E204" s="8"/>
      <c r="F204" s="8"/>
      <c r="G204" s="8"/>
      <c r="H204" s="8"/>
      <c r="I204" s="8"/>
      <c r="J204" s="8"/>
      <c r="K204" s="8"/>
      <c r="L204" s="8"/>
      <c r="M204" s="8"/>
      <c r="N204" s="8"/>
      <c r="O204" s="8"/>
      <c r="P204" s="8"/>
      <c r="Q204" s="8"/>
      <c r="R204" s="8"/>
      <c r="S204" s="8"/>
      <c r="T204" s="8"/>
      <c r="U204" s="8"/>
    </row>
    <row r="205" spans="1:21" x14ac:dyDescent="0.3">
      <c r="A205" s="8"/>
      <c r="B205" s="8"/>
      <c r="C205" s="8"/>
      <c r="D205" s="8"/>
      <c r="E205" s="8"/>
      <c r="F205" s="8"/>
      <c r="G205" s="8"/>
      <c r="H205" s="8"/>
      <c r="I205" s="8"/>
      <c r="J205" s="8"/>
      <c r="K205" s="8"/>
      <c r="L205" s="8"/>
      <c r="M205" s="8"/>
      <c r="N205" s="8"/>
      <c r="O205" s="8"/>
      <c r="P205" s="8"/>
      <c r="Q205" s="8"/>
      <c r="R205" s="8"/>
      <c r="S205" s="8"/>
      <c r="T205" s="8"/>
      <c r="U205" s="8"/>
    </row>
    <row r="206" spans="1:21" x14ac:dyDescent="0.3">
      <c r="A206" s="8"/>
      <c r="B206" s="8"/>
      <c r="C206" s="8"/>
      <c r="D206" s="8"/>
      <c r="E206" s="8"/>
      <c r="F206" s="8"/>
      <c r="G206" s="8"/>
      <c r="H206" s="8"/>
      <c r="I206" s="8"/>
      <c r="J206" s="8"/>
      <c r="K206" s="8"/>
      <c r="L206" s="8"/>
      <c r="M206" s="8"/>
      <c r="N206" s="8"/>
      <c r="O206" s="8"/>
      <c r="P206" s="8"/>
      <c r="Q206" s="8"/>
      <c r="R206" s="8"/>
      <c r="S206" s="8"/>
      <c r="T206" s="8"/>
      <c r="U206" s="8"/>
    </row>
    <row r="207" spans="1:21" x14ac:dyDescent="0.3">
      <c r="A207" s="8"/>
      <c r="B207" s="8"/>
      <c r="C207" s="8"/>
      <c r="D207" s="8"/>
      <c r="E207" s="8"/>
      <c r="F207" s="8"/>
      <c r="G207" s="8"/>
      <c r="H207" s="8"/>
      <c r="I207" s="8"/>
      <c r="J207" s="8"/>
      <c r="K207" s="8"/>
      <c r="L207" s="8"/>
      <c r="M207" s="8"/>
      <c r="N207" s="8"/>
      <c r="O207" s="8"/>
      <c r="P207" s="8"/>
      <c r="Q207" s="8"/>
      <c r="R207" s="8"/>
      <c r="S207" s="8"/>
      <c r="T207" s="8"/>
      <c r="U207" s="8"/>
    </row>
    <row r="208" spans="1:21" x14ac:dyDescent="0.3">
      <c r="A208" s="8"/>
      <c r="B208" s="8"/>
      <c r="C208" s="8"/>
      <c r="D208" s="8"/>
      <c r="E208" s="8"/>
      <c r="F208" s="8"/>
      <c r="G208" s="8"/>
      <c r="H208" s="8"/>
      <c r="I208" s="8"/>
      <c r="J208" s="8"/>
      <c r="K208" s="8"/>
      <c r="L208" s="8"/>
      <c r="M208" s="8"/>
      <c r="N208" s="8"/>
      <c r="O208" s="8"/>
      <c r="P208" s="8"/>
      <c r="Q208" s="8"/>
      <c r="R208" s="8"/>
      <c r="S208" s="8"/>
      <c r="T208" s="8"/>
      <c r="U208" s="8"/>
    </row>
    <row r="209" spans="1:21" x14ac:dyDescent="0.3">
      <c r="A209" s="8"/>
      <c r="B209" s="8"/>
      <c r="C209" s="8"/>
      <c r="D209" s="8"/>
      <c r="E209" s="8"/>
      <c r="F209" s="8"/>
      <c r="G209" s="8"/>
      <c r="H209" s="8"/>
      <c r="I209" s="8"/>
      <c r="J209" s="8"/>
      <c r="K209" s="8"/>
      <c r="L209" s="8"/>
      <c r="M209" s="8"/>
      <c r="N209" s="8"/>
      <c r="O209" s="8"/>
      <c r="P209" s="8"/>
      <c r="Q209" s="8"/>
      <c r="R209" s="8"/>
      <c r="S209" s="8"/>
      <c r="T209" s="8"/>
      <c r="U209" s="8"/>
    </row>
    <row r="210" spans="1:21" x14ac:dyDescent="0.3">
      <c r="A210" s="8"/>
      <c r="B210" s="8"/>
      <c r="C210" s="8"/>
      <c r="D210" s="8"/>
      <c r="E210" s="8"/>
      <c r="F210" s="8"/>
      <c r="G210" s="8"/>
      <c r="H210" s="8"/>
      <c r="I210" s="8"/>
      <c r="J210" s="8"/>
      <c r="K210" s="8"/>
      <c r="L210" s="8"/>
      <c r="M210" s="8"/>
      <c r="N210" s="8"/>
      <c r="O210" s="8"/>
      <c r="P210" s="8"/>
      <c r="Q210" s="8"/>
      <c r="R210" s="8"/>
      <c r="S210" s="8"/>
      <c r="T210" s="8"/>
      <c r="U210" s="8"/>
    </row>
    <row r="211" spans="1:21" x14ac:dyDescent="0.3">
      <c r="A211" s="8"/>
      <c r="B211" s="8"/>
      <c r="C211" s="8"/>
      <c r="D211" s="8"/>
      <c r="E211" s="8"/>
      <c r="F211" s="8"/>
      <c r="G211" s="8"/>
      <c r="H211" s="8"/>
      <c r="I211" s="8"/>
      <c r="J211" s="8"/>
      <c r="K211" s="8"/>
      <c r="L211" s="8"/>
      <c r="M211" s="8"/>
      <c r="N211" s="8"/>
      <c r="O211" s="8"/>
      <c r="P211" s="8"/>
      <c r="Q211" s="8"/>
      <c r="R211" s="8"/>
      <c r="S211" s="8"/>
      <c r="T211" s="8"/>
      <c r="U211" s="8"/>
    </row>
    <row r="212" spans="1:21" x14ac:dyDescent="0.3">
      <c r="A212" s="8"/>
      <c r="B212" s="8"/>
      <c r="C212" s="8"/>
      <c r="D212" s="8"/>
      <c r="E212" s="8"/>
      <c r="F212" s="8"/>
      <c r="G212" s="8"/>
      <c r="H212" s="8"/>
      <c r="I212" s="8"/>
      <c r="J212" s="8"/>
      <c r="K212" s="8"/>
      <c r="L212" s="8"/>
      <c r="M212" s="8"/>
      <c r="N212" s="8"/>
      <c r="O212" s="8"/>
      <c r="P212" s="8"/>
      <c r="Q212" s="8"/>
      <c r="R212" s="8"/>
      <c r="S212" s="8"/>
      <c r="T212" s="8"/>
      <c r="U212" s="8"/>
    </row>
  </sheetData>
  <mergeCells count="1">
    <mergeCell ref="E2: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based on customer</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rajput</dc:creator>
  <cp:lastModifiedBy>suraj rajput</cp:lastModifiedBy>
  <dcterms:created xsi:type="dcterms:W3CDTF">2024-07-12T08:57:06Z</dcterms:created>
  <dcterms:modified xsi:type="dcterms:W3CDTF">2025-01-08T04:17:28Z</dcterms:modified>
</cp:coreProperties>
</file>